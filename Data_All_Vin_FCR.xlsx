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Desktop\R_Directory\Paper_Vigneto\Dati_Codice_Repository\"/>
    </mc:Choice>
  </mc:AlternateContent>
  <xr:revisionPtr revIDLastSave="0" documentId="13_ncr:1_{3BB76DC2-5DF7-4442-8026-BC0E95FDB118}" xr6:coauthVersionLast="47" xr6:coauthVersionMax="47" xr10:uidLastSave="{00000000-0000-0000-0000-000000000000}"/>
  <bookViews>
    <workbookView xWindow="-98" yWindow="-98" windowWidth="21795" windowHeight="12975" xr2:uid="{32718CC8-78DF-480C-BB63-937F2E07A846}"/>
  </bookViews>
  <sheets>
    <sheet name="Results_OK_FCR" sheetId="17" r:id="rId1"/>
    <sheet name="Risults_OK_Vineyard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1" i="17" l="1"/>
  <c r="AF111" i="17"/>
  <c r="AD111" i="17"/>
  <c r="AB111" i="17"/>
  <c r="Z111" i="17"/>
  <c r="X111" i="17"/>
  <c r="V111" i="17"/>
  <c r="T111" i="17"/>
  <c r="R111" i="17"/>
  <c r="P111" i="17"/>
  <c r="N111" i="17"/>
  <c r="L111" i="17"/>
  <c r="J111" i="17"/>
  <c r="H111" i="17"/>
  <c r="AH110" i="17"/>
  <c r="AF110" i="17"/>
  <c r="AD110" i="17"/>
  <c r="AB110" i="17"/>
  <c r="Z110" i="17"/>
  <c r="X110" i="17"/>
  <c r="V110" i="17"/>
  <c r="T110" i="17"/>
  <c r="R110" i="17"/>
  <c r="P110" i="17"/>
  <c r="N110" i="17"/>
  <c r="L110" i="17"/>
  <c r="J110" i="17"/>
  <c r="H110" i="17"/>
  <c r="AH109" i="17"/>
  <c r="AF109" i="17"/>
  <c r="AD109" i="17"/>
  <c r="AB109" i="17"/>
  <c r="Z109" i="17"/>
  <c r="X109" i="17"/>
  <c r="V109" i="17"/>
  <c r="T109" i="17"/>
  <c r="R109" i="17"/>
  <c r="P109" i="17"/>
  <c r="N109" i="17"/>
  <c r="L109" i="17"/>
  <c r="J109" i="17"/>
  <c r="H109" i="17"/>
  <c r="AH108" i="17"/>
  <c r="AF108" i="17"/>
  <c r="AD108" i="17"/>
  <c r="AB108" i="17"/>
  <c r="Z108" i="17"/>
  <c r="X108" i="17"/>
  <c r="V108" i="17"/>
  <c r="T108" i="17"/>
  <c r="R108" i="17"/>
  <c r="P108" i="17"/>
  <c r="N108" i="17"/>
  <c r="L108" i="17"/>
  <c r="J108" i="17"/>
  <c r="H108" i="17"/>
  <c r="AH107" i="17"/>
  <c r="AF107" i="17"/>
  <c r="AD107" i="17"/>
  <c r="AB107" i="17"/>
  <c r="Z107" i="17"/>
  <c r="X107" i="17"/>
  <c r="V107" i="17"/>
  <c r="T107" i="17"/>
  <c r="R107" i="17"/>
  <c r="P107" i="17"/>
  <c r="N107" i="17"/>
  <c r="L107" i="17"/>
  <c r="J107" i="17"/>
  <c r="H107" i="17"/>
  <c r="AH106" i="17"/>
  <c r="AF106" i="17"/>
  <c r="AD106" i="17"/>
  <c r="AB106" i="17"/>
  <c r="Z106" i="17"/>
  <c r="X106" i="17"/>
  <c r="V106" i="17"/>
  <c r="T106" i="17"/>
  <c r="R106" i="17"/>
  <c r="P106" i="17"/>
  <c r="N106" i="17"/>
  <c r="L106" i="17"/>
  <c r="J106" i="17"/>
  <c r="H106" i="17"/>
  <c r="AH105" i="17"/>
  <c r="AF105" i="17"/>
  <c r="AD105" i="17"/>
  <c r="AB105" i="17"/>
  <c r="Z105" i="17"/>
  <c r="X105" i="17"/>
  <c r="V105" i="17"/>
  <c r="T105" i="17"/>
  <c r="R105" i="17"/>
  <c r="P105" i="17"/>
  <c r="N105" i="17"/>
  <c r="L105" i="17"/>
  <c r="J105" i="17"/>
  <c r="H105" i="17"/>
  <c r="AH104" i="17"/>
  <c r="AF104" i="17"/>
  <c r="AD104" i="17"/>
  <c r="AB104" i="17"/>
  <c r="Z104" i="17"/>
  <c r="X104" i="17"/>
  <c r="V104" i="17"/>
  <c r="T104" i="17"/>
  <c r="R104" i="17"/>
  <c r="P104" i="17"/>
  <c r="N104" i="17"/>
  <c r="L104" i="17"/>
  <c r="J104" i="17"/>
  <c r="H104" i="17"/>
  <c r="AH103" i="17"/>
  <c r="AF103" i="17"/>
  <c r="AD103" i="17"/>
  <c r="AB103" i="17"/>
  <c r="Z103" i="17"/>
  <c r="X103" i="17"/>
  <c r="V103" i="17"/>
  <c r="T103" i="17"/>
  <c r="R103" i="17"/>
  <c r="P103" i="17"/>
  <c r="N103" i="17"/>
  <c r="L103" i="17"/>
  <c r="J103" i="17"/>
  <c r="H103" i="17"/>
  <c r="AH102" i="17"/>
  <c r="AF102" i="17"/>
  <c r="AD102" i="17"/>
  <c r="AB102" i="17"/>
  <c r="Z102" i="17"/>
  <c r="X102" i="17"/>
  <c r="V102" i="17"/>
  <c r="T102" i="17"/>
  <c r="R102" i="17"/>
  <c r="P102" i="17"/>
  <c r="N102" i="17"/>
  <c r="L102" i="17"/>
  <c r="J102" i="17"/>
  <c r="H102" i="17"/>
  <c r="AH101" i="17"/>
  <c r="AF101" i="17"/>
  <c r="AD101" i="17"/>
  <c r="AB101" i="17"/>
  <c r="Z101" i="17"/>
  <c r="X101" i="17"/>
  <c r="V101" i="17"/>
  <c r="T101" i="17"/>
  <c r="R101" i="17"/>
  <c r="P101" i="17"/>
  <c r="N101" i="17"/>
  <c r="L101" i="17"/>
  <c r="J101" i="17"/>
  <c r="H101" i="17"/>
  <c r="AH100" i="17"/>
  <c r="AF100" i="17"/>
  <c r="AD100" i="17"/>
  <c r="AB100" i="17"/>
  <c r="Z100" i="17"/>
  <c r="X100" i="17"/>
  <c r="V100" i="17"/>
  <c r="T100" i="17"/>
  <c r="R100" i="17"/>
  <c r="P100" i="17"/>
  <c r="N100" i="17"/>
  <c r="L100" i="17"/>
  <c r="J100" i="17"/>
  <c r="H100" i="17"/>
  <c r="AH99" i="17"/>
  <c r="AF99" i="17"/>
  <c r="AD99" i="17"/>
  <c r="AB99" i="17"/>
  <c r="Z99" i="17"/>
  <c r="X99" i="17"/>
  <c r="V99" i="17"/>
  <c r="T99" i="17"/>
  <c r="R99" i="17"/>
  <c r="P99" i="17"/>
  <c r="N99" i="17"/>
  <c r="L99" i="17"/>
  <c r="J99" i="17"/>
  <c r="H99" i="17"/>
  <c r="AH98" i="17"/>
  <c r="AF98" i="17"/>
  <c r="AD98" i="17"/>
  <c r="AB98" i="17"/>
  <c r="Z98" i="17"/>
  <c r="X98" i="17"/>
  <c r="V98" i="17"/>
  <c r="T98" i="17"/>
  <c r="R98" i="17"/>
  <c r="P98" i="17"/>
  <c r="N98" i="17"/>
  <c r="L98" i="17"/>
  <c r="J98" i="17"/>
  <c r="H98" i="17"/>
  <c r="AH97" i="17"/>
  <c r="AF97" i="17"/>
  <c r="AD97" i="17"/>
  <c r="AB97" i="17"/>
  <c r="Z97" i="17"/>
  <c r="X97" i="17"/>
  <c r="V97" i="17"/>
  <c r="T97" i="17"/>
  <c r="R97" i="17"/>
  <c r="P97" i="17"/>
  <c r="N97" i="17"/>
  <c r="L97" i="17"/>
  <c r="J97" i="17"/>
  <c r="H97" i="17"/>
  <c r="AH96" i="17"/>
  <c r="AF96" i="17"/>
  <c r="AD96" i="17"/>
  <c r="AB96" i="17"/>
  <c r="Z96" i="17"/>
  <c r="X96" i="17"/>
  <c r="V96" i="17"/>
  <c r="T96" i="17"/>
  <c r="R96" i="17"/>
  <c r="P96" i="17"/>
  <c r="N96" i="17"/>
  <c r="L96" i="17"/>
  <c r="J96" i="17"/>
  <c r="H96" i="17"/>
  <c r="AH95" i="17"/>
  <c r="AF95" i="17"/>
  <c r="AD95" i="17"/>
  <c r="AB95" i="17"/>
  <c r="Z95" i="17"/>
  <c r="X95" i="17"/>
  <c r="V95" i="17"/>
  <c r="T95" i="17"/>
  <c r="R95" i="17"/>
  <c r="P95" i="17"/>
  <c r="N95" i="17"/>
  <c r="L95" i="17"/>
  <c r="J95" i="17"/>
  <c r="H95" i="17"/>
  <c r="AH94" i="17"/>
  <c r="AF94" i="17"/>
  <c r="AD94" i="17"/>
  <c r="AB94" i="17"/>
  <c r="Z94" i="17"/>
  <c r="X94" i="17"/>
  <c r="V94" i="17"/>
  <c r="T94" i="17"/>
  <c r="R94" i="17"/>
  <c r="P94" i="17"/>
  <c r="N94" i="17"/>
  <c r="L94" i="17"/>
  <c r="J94" i="17"/>
  <c r="H94" i="17"/>
  <c r="AH93" i="17"/>
  <c r="AF93" i="17"/>
  <c r="AD93" i="17"/>
  <c r="AB93" i="17"/>
  <c r="Z93" i="17"/>
  <c r="X93" i="17"/>
  <c r="V93" i="17"/>
  <c r="T93" i="17"/>
  <c r="R93" i="17"/>
  <c r="P93" i="17"/>
  <c r="N93" i="17"/>
  <c r="L93" i="17"/>
  <c r="J93" i="17"/>
  <c r="H93" i="17"/>
  <c r="AH92" i="17"/>
  <c r="AF92" i="17"/>
  <c r="AD92" i="17"/>
  <c r="AB92" i="17"/>
  <c r="Z92" i="17"/>
  <c r="X92" i="17"/>
  <c r="V92" i="17"/>
  <c r="T92" i="17"/>
  <c r="R92" i="17"/>
  <c r="P92" i="17"/>
  <c r="N92" i="17"/>
  <c r="L92" i="17"/>
  <c r="J92" i="17"/>
  <c r="H92" i="17"/>
  <c r="AH91" i="17"/>
  <c r="AF91" i="17"/>
  <c r="AD91" i="17"/>
  <c r="AB91" i="17"/>
  <c r="Z91" i="17"/>
  <c r="X91" i="17"/>
  <c r="V91" i="17"/>
  <c r="T91" i="17"/>
  <c r="R91" i="17"/>
  <c r="P91" i="17"/>
  <c r="N91" i="17"/>
  <c r="L91" i="17"/>
  <c r="J91" i="17"/>
  <c r="H91" i="17"/>
  <c r="AH90" i="17"/>
  <c r="AF90" i="17"/>
  <c r="AD90" i="17"/>
  <c r="AB90" i="17"/>
  <c r="Z90" i="17"/>
  <c r="X90" i="17"/>
  <c r="V90" i="17"/>
  <c r="T90" i="17"/>
  <c r="R90" i="17"/>
  <c r="P90" i="17"/>
  <c r="N90" i="17"/>
  <c r="L90" i="17"/>
  <c r="J90" i="17"/>
  <c r="H90" i="17"/>
  <c r="AH89" i="17"/>
  <c r="AF89" i="17"/>
  <c r="AD89" i="17"/>
  <c r="AB89" i="17"/>
  <c r="Z89" i="17"/>
  <c r="X89" i="17"/>
  <c r="V89" i="17"/>
  <c r="T89" i="17"/>
  <c r="R89" i="17"/>
  <c r="P89" i="17"/>
  <c r="N89" i="17"/>
  <c r="L89" i="17"/>
  <c r="J89" i="17"/>
  <c r="H89" i="17"/>
  <c r="AH88" i="17"/>
  <c r="AF88" i="17"/>
  <c r="AD88" i="17"/>
  <c r="AB88" i="17"/>
  <c r="Z88" i="17"/>
  <c r="X88" i="17"/>
  <c r="V88" i="17"/>
  <c r="T88" i="17"/>
  <c r="R88" i="17"/>
  <c r="P88" i="17"/>
  <c r="N88" i="17"/>
  <c r="L88" i="17"/>
  <c r="J88" i="17"/>
  <c r="H88" i="17"/>
  <c r="AH87" i="17"/>
  <c r="AF87" i="17"/>
  <c r="AD87" i="17"/>
  <c r="AB87" i="17"/>
  <c r="Z87" i="17"/>
  <c r="X87" i="17"/>
  <c r="V87" i="17"/>
  <c r="T87" i="17"/>
  <c r="R87" i="17"/>
  <c r="P87" i="17"/>
  <c r="N87" i="17"/>
  <c r="L87" i="17"/>
  <c r="J87" i="17"/>
  <c r="H87" i="17"/>
  <c r="AH86" i="17"/>
  <c r="AF86" i="17"/>
  <c r="AD86" i="17"/>
  <c r="AB86" i="17"/>
  <c r="Z86" i="17"/>
  <c r="X86" i="17"/>
  <c r="V86" i="17"/>
  <c r="T86" i="17"/>
  <c r="R86" i="17"/>
  <c r="P86" i="17"/>
  <c r="N86" i="17"/>
  <c r="L86" i="17"/>
  <c r="J86" i="17"/>
  <c r="H86" i="17"/>
  <c r="AH85" i="17"/>
  <c r="AF85" i="17"/>
  <c r="AD85" i="17"/>
  <c r="AB85" i="17"/>
  <c r="Z85" i="17"/>
  <c r="X85" i="17"/>
  <c r="V85" i="17"/>
  <c r="T85" i="17"/>
  <c r="R85" i="17"/>
  <c r="P85" i="17"/>
  <c r="N85" i="17"/>
  <c r="L85" i="17"/>
  <c r="J85" i="17"/>
  <c r="H85" i="17"/>
  <c r="AH84" i="17"/>
  <c r="AF84" i="17"/>
  <c r="AD84" i="17"/>
  <c r="AB84" i="17"/>
  <c r="Z84" i="17"/>
  <c r="X84" i="17"/>
  <c r="V84" i="17"/>
  <c r="T84" i="17"/>
  <c r="R84" i="17"/>
  <c r="P84" i="17"/>
  <c r="N84" i="17"/>
  <c r="L84" i="17"/>
  <c r="J84" i="17"/>
  <c r="H84" i="17"/>
  <c r="AH83" i="17"/>
  <c r="AF83" i="17"/>
  <c r="AD83" i="17"/>
  <c r="AB83" i="17"/>
  <c r="Z83" i="17"/>
  <c r="X83" i="17"/>
  <c r="V83" i="17"/>
  <c r="T83" i="17"/>
  <c r="R83" i="17"/>
  <c r="P83" i="17"/>
  <c r="N83" i="17"/>
  <c r="L83" i="17"/>
  <c r="J83" i="17"/>
  <c r="H83" i="17"/>
  <c r="AH82" i="17"/>
  <c r="AF82" i="17"/>
  <c r="AD82" i="17"/>
  <c r="AB82" i="17"/>
  <c r="Z82" i="17"/>
  <c r="X82" i="17"/>
  <c r="V82" i="17"/>
  <c r="T82" i="17"/>
  <c r="R82" i="17"/>
  <c r="P82" i="17"/>
  <c r="N82" i="17"/>
  <c r="L82" i="17"/>
  <c r="J82" i="17"/>
  <c r="H82" i="17"/>
  <c r="AH81" i="17"/>
  <c r="AF81" i="17"/>
  <c r="AD81" i="17"/>
  <c r="AB81" i="17"/>
  <c r="Z81" i="17"/>
  <c r="X81" i="17"/>
  <c r="V81" i="17"/>
  <c r="T81" i="17"/>
  <c r="R81" i="17"/>
  <c r="P81" i="17"/>
  <c r="N81" i="17"/>
  <c r="L81" i="17"/>
  <c r="J81" i="17"/>
  <c r="H81" i="17"/>
  <c r="AH80" i="17"/>
  <c r="AF80" i="17"/>
  <c r="AD80" i="17"/>
  <c r="AB80" i="17"/>
  <c r="Z80" i="17"/>
  <c r="X80" i="17"/>
  <c r="V80" i="17"/>
  <c r="T80" i="17"/>
  <c r="R80" i="17"/>
  <c r="P80" i="17"/>
  <c r="N80" i="17"/>
  <c r="L80" i="17"/>
  <c r="J80" i="17"/>
  <c r="H80" i="17"/>
  <c r="AH79" i="17"/>
  <c r="AF79" i="17"/>
  <c r="AD79" i="17"/>
  <c r="AB79" i="17"/>
  <c r="Z79" i="17"/>
  <c r="X79" i="17"/>
  <c r="V79" i="17"/>
  <c r="T79" i="17"/>
  <c r="R79" i="17"/>
  <c r="P79" i="17"/>
  <c r="N79" i="17"/>
  <c r="L79" i="17"/>
  <c r="J79" i="17"/>
  <c r="H79" i="17"/>
  <c r="AH78" i="17"/>
  <c r="AF78" i="17"/>
  <c r="AD78" i="17"/>
  <c r="AB78" i="17"/>
  <c r="Z78" i="17"/>
  <c r="X78" i="17"/>
  <c r="V78" i="17"/>
  <c r="T78" i="17"/>
  <c r="R78" i="17"/>
  <c r="P78" i="17"/>
  <c r="N78" i="17"/>
  <c r="L78" i="17"/>
  <c r="J78" i="17"/>
  <c r="H78" i="17"/>
  <c r="AH77" i="17"/>
  <c r="AF77" i="17"/>
  <c r="AD77" i="17"/>
  <c r="AB77" i="17"/>
  <c r="Z77" i="17"/>
  <c r="X77" i="17"/>
  <c r="V77" i="17"/>
  <c r="T77" i="17"/>
  <c r="R77" i="17"/>
  <c r="P77" i="17"/>
  <c r="N77" i="17"/>
  <c r="L77" i="17"/>
  <c r="J77" i="17"/>
  <c r="H77" i="17"/>
  <c r="AH76" i="17"/>
  <c r="AF76" i="17"/>
  <c r="AD76" i="17"/>
  <c r="AB76" i="17"/>
  <c r="Z76" i="17"/>
  <c r="X76" i="17"/>
  <c r="V76" i="17"/>
  <c r="T76" i="17"/>
  <c r="R76" i="17"/>
  <c r="P76" i="17"/>
  <c r="N76" i="17"/>
  <c r="L76" i="17"/>
  <c r="J76" i="17"/>
  <c r="H76" i="17"/>
  <c r="AH75" i="17"/>
  <c r="AF75" i="17"/>
  <c r="AD75" i="17"/>
  <c r="AB75" i="17"/>
  <c r="Z75" i="17"/>
  <c r="X75" i="17"/>
  <c r="V75" i="17"/>
  <c r="T75" i="17"/>
  <c r="R75" i="17"/>
  <c r="P75" i="17"/>
  <c r="N75" i="17"/>
  <c r="L75" i="17"/>
  <c r="J75" i="17"/>
  <c r="H75" i="17"/>
  <c r="AH74" i="17"/>
  <c r="AF74" i="17"/>
  <c r="AD74" i="17"/>
  <c r="AB74" i="17"/>
  <c r="Z74" i="17"/>
  <c r="X74" i="17"/>
  <c r="V74" i="17"/>
  <c r="T74" i="17"/>
  <c r="R74" i="17"/>
  <c r="P74" i="17"/>
  <c r="N74" i="17"/>
  <c r="L74" i="17"/>
  <c r="J74" i="17"/>
  <c r="H74" i="17"/>
  <c r="AH73" i="17"/>
  <c r="AF73" i="17"/>
  <c r="AD73" i="17"/>
  <c r="AB73" i="17"/>
  <c r="Z73" i="17"/>
  <c r="X73" i="17"/>
  <c r="V73" i="17"/>
  <c r="T73" i="17"/>
  <c r="R73" i="17"/>
  <c r="P73" i="17"/>
  <c r="N73" i="17"/>
  <c r="L73" i="17"/>
  <c r="J73" i="17"/>
  <c r="H73" i="17"/>
  <c r="AH72" i="17"/>
  <c r="AF72" i="17"/>
  <c r="AD72" i="17"/>
  <c r="AB72" i="17"/>
  <c r="Z72" i="17"/>
  <c r="X72" i="17"/>
  <c r="V72" i="17"/>
  <c r="T72" i="17"/>
  <c r="R72" i="17"/>
  <c r="P72" i="17"/>
  <c r="N72" i="17"/>
  <c r="L72" i="17"/>
  <c r="J72" i="17"/>
  <c r="H72" i="17"/>
  <c r="AH71" i="17"/>
  <c r="AF71" i="17"/>
  <c r="AD71" i="17"/>
  <c r="AB71" i="17"/>
  <c r="Z71" i="17"/>
  <c r="X71" i="17"/>
  <c r="V71" i="17"/>
  <c r="T71" i="17"/>
  <c r="R71" i="17"/>
  <c r="P71" i="17"/>
  <c r="N71" i="17"/>
  <c r="L71" i="17"/>
  <c r="J71" i="17"/>
  <c r="H71" i="17"/>
  <c r="AH70" i="17"/>
  <c r="AF70" i="17"/>
  <c r="AD70" i="17"/>
  <c r="AB70" i="17"/>
  <c r="Z70" i="17"/>
  <c r="X70" i="17"/>
  <c r="V70" i="17"/>
  <c r="T70" i="17"/>
  <c r="R70" i="17"/>
  <c r="P70" i="17"/>
  <c r="N70" i="17"/>
  <c r="L70" i="17"/>
  <c r="J70" i="17"/>
  <c r="H70" i="17"/>
  <c r="AH69" i="17"/>
  <c r="AF69" i="17"/>
  <c r="AD69" i="17"/>
  <c r="AB69" i="17"/>
  <c r="Z69" i="17"/>
  <c r="X69" i="17"/>
  <c r="V69" i="17"/>
  <c r="T69" i="17"/>
  <c r="R69" i="17"/>
  <c r="P69" i="17"/>
  <c r="N69" i="17"/>
  <c r="L69" i="17"/>
  <c r="J69" i="17"/>
  <c r="H69" i="17"/>
  <c r="AH68" i="17"/>
  <c r="AF68" i="17"/>
  <c r="AD68" i="17"/>
  <c r="AB68" i="17"/>
  <c r="Z68" i="17"/>
  <c r="X68" i="17"/>
  <c r="V68" i="17"/>
  <c r="T68" i="17"/>
  <c r="R68" i="17"/>
  <c r="P68" i="17"/>
  <c r="N68" i="17"/>
  <c r="L68" i="17"/>
  <c r="J68" i="17"/>
  <c r="H68" i="17"/>
  <c r="AH67" i="17"/>
  <c r="AF67" i="17"/>
  <c r="AD67" i="17"/>
  <c r="AB67" i="17"/>
  <c r="Z67" i="17"/>
  <c r="X67" i="17"/>
  <c r="V67" i="17"/>
  <c r="T67" i="17"/>
  <c r="R67" i="17"/>
  <c r="P67" i="17"/>
  <c r="N67" i="17"/>
  <c r="L67" i="17"/>
  <c r="J67" i="17"/>
  <c r="H67" i="17"/>
  <c r="AH66" i="17"/>
  <c r="AF66" i="17"/>
  <c r="AD66" i="17"/>
  <c r="AB66" i="17"/>
  <c r="Z66" i="17"/>
  <c r="X66" i="17"/>
  <c r="V66" i="17"/>
  <c r="T66" i="17"/>
  <c r="R66" i="17"/>
  <c r="P66" i="17"/>
  <c r="N66" i="17"/>
  <c r="L66" i="17"/>
  <c r="J66" i="17"/>
  <c r="H66" i="17"/>
  <c r="AH65" i="17"/>
  <c r="AF65" i="17"/>
  <c r="AD65" i="17"/>
  <c r="AB65" i="17"/>
  <c r="Z65" i="17"/>
  <c r="X65" i="17"/>
  <c r="V65" i="17"/>
  <c r="T65" i="17"/>
  <c r="R65" i="17"/>
  <c r="P65" i="17"/>
  <c r="N65" i="17"/>
  <c r="L65" i="17"/>
  <c r="J65" i="17"/>
  <c r="H65" i="17"/>
  <c r="AH64" i="17"/>
  <c r="AF64" i="17"/>
  <c r="AD64" i="17"/>
  <c r="AB64" i="17"/>
  <c r="Z64" i="17"/>
  <c r="X64" i="17"/>
  <c r="V64" i="17"/>
  <c r="T64" i="17"/>
  <c r="R64" i="17"/>
  <c r="P64" i="17"/>
  <c r="N64" i="17"/>
  <c r="L64" i="17"/>
  <c r="J64" i="17"/>
  <c r="H64" i="17"/>
  <c r="AH63" i="17"/>
  <c r="AF63" i="17"/>
  <c r="AD63" i="17"/>
  <c r="AB63" i="17"/>
  <c r="Z63" i="17"/>
  <c r="X63" i="17"/>
  <c r="V63" i="17"/>
  <c r="T63" i="17"/>
  <c r="R63" i="17"/>
  <c r="P63" i="17"/>
  <c r="N63" i="17"/>
  <c r="L63" i="17"/>
  <c r="J63" i="17"/>
  <c r="H63" i="17"/>
  <c r="AH62" i="17"/>
  <c r="AF62" i="17"/>
  <c r="AD62" i="17"/>
  <c r="AB62" i="17"/>
  <c r="Z62" i="17"/>
  <c r="X62" i="17"/>
  <c r="V62" i="17"/>
  <c r="T62" i="17"/>
  <c r="R62" i="17"/>
  <c r="P62" i="17"/>
  <c r="N62" i="17"/>
  <c r="L62" i="17"/>
  <c r="J62" i="17"/>
  <c r="H62" i="17"/>
  <c r="AH61" i="17"/>
  <c r="AF61" i="17"/>
  <c r="AD61" i="17"/>
  <c r="AB61" i="17"/>
  <c r="Z61" i="17"/>
  <c r="X61" i="17"/>
  <c r="V61" i="17"/>
  <c r="T61" i="17"/>
  <c r="R61" i="17"/>
  <c r="P61" i="17"/>
  <c r="N61" i="17"/>
  <c r="L61" i="17"/>
  <c r="J61" i="17"/>
  <c r="H61" i="17"/>
  <c r="AH60" i="17"/>
  <c r="AF60" i="17"/>
  <c r="AD60" i="17"/>
  <c r="AB60" i="17"/>
  <c r="Z60" i="17"/>
  <c r="X60" i="17"/>
  <c r="V60" i="17"/>
  <c r="T60" i="17"/>
  <c r="R60" i="17"/>
  <c r="P60" i="17"/>
  <c r="N60" i="17"/>
  <c r="L60" i="17"/>
  <c r="J60" i="17"/>
  <c r="H60" i="17"/>
  <c r="AH59" i="17"/>
  <c r="AF59" i="17"/>
  <c r="AD59" i="17"/>
  <c r="AB59" i="17"/>
  <c r="Z59" i="17"/>
  <c r="X59" i="17"/>
  <c r="V59" i="17"/>
  <c r="T59" i="17"/>
  <c r="R59" i="17"/>
  <c r="P59" i="17"/>
  <c r="N59" i="17"/>
  <c r="L59" i="17"/>
  <c r="J59" i="17"/>
  <c r="H59" i="17"/>
  <c r="AH58" i="17"/>
  <c r="AF58" i="17"/>
  <c r="AD58" i="17"/>
  <c r="AB58" i="17"/>
  <c r="Z58" i="17"/>
  <c r="X58" i="17"/>
  <c r="V58" i="17"/>
  <c r="T58" i="17"/>
  <c r="R58" i="17"/>
  <c r="P58" i="17"/>
  <c r="N58" i="17"/>
  <c r="L58" i="17"/>
  <c r="J58" i="17"/>
  <c r="H58" i="17"/>
  <c r="AH57" i="17"/>
  <c r="AF57" i="17"/>
  <c r="AD57" i="17"/>
  <c r="AB57" i="17"/>
  <c r="Z57" i="17"/>
  <c r="X57" i="17"/>
  <c r="V57" i="17"/>
  <c r="T57" i="17"/>
  <c r="R57" i="17"/>
  <c r="P57" i="17"/>
  <c r="N57" i="17"/>
  <c r="L57" i="17"/>
  <c r="J57" i="17"/>
  <c r="H57" i="17"/>
  <c r="AH56" i="17"/>
  <c r="AF56" i="17"/>
  <c r="AD56" i="17"/>
  <c r="AB56" i="17"/>
  <c r="Z56" i="17"/>
  <c r="X56" i="17"/>
  <c r="V56" i="17"/>
  <c r="T56" i="17"/>
  <c r="R56" i="17"/>
  <c r="P56" i="17"/>
  <c r="N56" i="17"/>
  <c r="L56" i="17"/>
  <c r="J56" i="17"/>
  <c r="H56" i="17"/>
  <c r="AH55" i="17"/>
  <c r="AF55" i="17"/>
  <c r="AD55" i="17"/>
  <c r="AB55" i="17"/>
  <c r="Z55" i="17"/>
  <c r="X55" i="17"/>
  <c r="V55" i="17"/>
  <c r="T55" i="17"/>
  <c r="R55" i="17"/>
  <c r="P55" i="17"/>
  <c r="N55" i="17"/>
  <c r="L55" i="17"/>
  <c r="J55" i="17"/>
  <c r="H55" i="17"/>
  <c r="AH54" i="17"/>
  <c r="AF54" i="17"/>
  <c r="AD54" i="17"/>
  <c r="AB54" i="17"/>
  <c r="Z54" i="17"/>
  <c r="X54" i="17"/>
  <c r="V54" i="17"/>
  <c r="T54" i="17"/>
  <c r="R54" i="17"/>
  <c r="P54" i="17"/>
  <c r="N54" i="17"/>
  <c r="L54" i="17"/>
  <c r="J54" i="17"/>
  <c r="H54" i="17"/>
  <c r="AH53" i="17"/>
  <c r="AF53" i="17"/>
  <c r="AD53" i="17"/>
  <c r="AB53" i="17"/>
  <c r="Z53" i="17"/>
  <c r="X53" i="17"/>
  <c r="V53" i="17"/>
  <c r="T53" i="17"/>
  <c r="R53" i="17"/>
  <c r="P53" i="17"/>
  <c r="N53" i="17"/>
  <c r="L53" i="17"/>
  <c r="J53" i="17"/>
  <c r="H53" i="17"/>
  <c r="AH52" i="17"/>
  <c r="AF52" i="17"/>
  <c r="AD52" i="17"/>
  <c r="AB52" i="17"/>
  <c r="Z52" i="17"/>
  <c r="X52" i="17"/>
  <c r="V52" i="17"/>
  <c r="T52" i="17"/>
  <c r="R52" i="17"/>
  <c r="P52" i="17"/>
  <c r="N52" i="17"/>
  <c r="L52" i="17"/>
  <c r="J52" i="17"/>
  <c r="H52" i="17"/>
  <c r="AH51" i="17"/>
  <c r="AF51" i="17"/>
  <c r="AD51" i="17"/>
  <c r="AB51" i="17"/>
  <c r="Z51" i="17"/>
  <c r="X51" i="17"/>
  <c r="V51" i="17"/>
  <c r="T51" i="17"/>
  <c r="R51" i="17"/>
  <c r="P51" i="17"/>
  <c r="N51" i="17"/>
  <c r="L51" i="17"/>
  <c r="J51" i="17"/>
  <c r="H51" i="17"/>
  <c r="AH50" i="17"/>
  <c r="AF50" i="17"/>
  <c r="AD50" i="17"/>
  <c r="AB50" i="17"/>
  <c r="Z50" i="17"/>
  <c r="X50" i="17"/>
  <c r="V50" i="17"/>
  <c r="T50" i="17"/>
  <c r="R50" i="17"/>
  <c r="P50" i="17"/>
  <c r="N50" i="17"/>
  <c r="L50" i="17"/>
  <c r="J50" i="17"/>
  <c r="H50" i="17"/>
  <c r="AH49" i="17"/>
  <c r="AF49" i="17"/>
  <c r="AD49" i="17"/>
  <c r="AB49" i="17"/>
  <c r="Z49" i="17"/>
  <c r="X49" i="17"/>
  <c r="V49" i="17"/>
  <c r="T49" i="17"/>
  <c r="R49" i="17"/>
  <c r="P49" i="17"/>
  <c r="N49" i="17"/>
  <c r="L49" i="17"/>
  <c r="J49" i="17"/>
  <c r="H49" i="17"/>
  <c r="AH48" i="17"/>
  <c r="AF48" i="17"/>
  <c r="AD48" i="17"/>
  <c r="AB48" i="17"/>
  <c r="Z48" i="17"/>
  <c r="X48" i="17"/>
  <c r="V48" i="17"/>
  <c r="T48" i="17"/>
  <c r="R48" i="17"/>
  <c r="P48" i="17"/>
  <c r="N48" i="17"/>
  <c r="L48" i="17"/>
  <c r="J48" i="17"/>
  <c r="H48" i="17"/>
  <c r="AH47" i="17"/>
  <c r="AF47" i="17"/>
  <c r="AD47" i="17"/>
  <c r="AB47" i="17"/>
  <c r="Z47" i="17"/>
  <c r="X47" i="17"/>
  <c r="V47" i="17"/>
  <c r="T47" i="17"/>
  <c r="R47" i="17"/>
  <c r="P47" i="17"/>
  <c r="N47" i="17"/>
  <c r="L47" i="17"/>
  <c r="J47" i="17"/>
  <c r="H47" i="17"/>
  <c r="AH46" i="17"/>
  <c r="AF46" i="17"/>
  <c r="AD46" i="17"/>
  <c r="AB46" i="17"/>
  <c r="Z46" i="17"/>
  <c r="X46" i="17"/>
  <c r="V46" i="17"/>
  <c r="T46" i="17"/>
  <c r="R46" i="17"/>
  <c r="P46" i="17"/>
  <c r="N46" i="17"/>
  <c r="L46" i="17"/>
  <c r="J46" i="17"/>
  <c r="H46" i="17"/>
  <c r="AH45" i="17"/>
  <c r="AF45" i="17"/>
  <c r="AD45" i="17"/>
  <c r="AB45" i="17"/>
  <c r="Z45" i="17"/>
  <c r="X45" i="17"/>
  <c r="V45" i="17"/>
  <c r="T45" i="17"/>
  <c r="R45" i="17"/>
  <c r="P45" i="17"/>
  <c r="N45" i="17"/>
  <c r="L45" i="17"/>
  <c r="J45" i="17"/>
  <c r="H45" i="17"/>
  <c r="AH44" i="17"/>
  <c r="AF44" i="17"/>
  <c r="AD44" i="17"/>
  <c r="AB44" i="17"/>
  <c r="Z44" i="17"/>
  <c r="X44" i="17"/>
  <c r="V44" i="17"/>
  <c r="T44" i="17"/>
  <c r="R44" i="17"/>
  <c r="P44" i="17"/>
  <c r="N44" i="17"/>
  <c r="L44" i="17"/>
  <c r="J44" i="17"/>
  <c r="H44" i="17"/>
  <c r="AH43" i="17"/>
  <c r="AF43" i="17"/>
  <c r="AD43" i="17"/>
  <c r="AB43" i="17"/>
  <c r="Z43" i="17"/>
  <c r="X43" i="17"/>
  <c r="V43" i="17"/>
  <c r="T43" i="17"/>
  <c r="R43" i="17"/>
  <c r="P43" i="17"/>
  <c r="N43" i="17"/>
  <c r="L43" i="17"/>
  <c r="J43" i="17"/>
  <c r="H43" i="17"/>
  <c r="AH42" i="17"/>
  <c r="AF42" i="17"/>
  <c r="AD42" i="17"/>
  <c r="AB42" i="17"/>
  <c r="Z42" i="17"/>
  <c r="X42" i="17"/>
  <c r="V42" i="17"/>
  <c r="T42" i="17"/>
  <c r="R42" i="17"/>
  <c r="P42" i="17"/>
  <c r="N42" i="17"/>
  <c r="L42" i="17"/>
  <c r="J42" i="17"/>
  <c r="H42" i="17"/>
  <c r="AH41" i="17"/>
  <c r="AF41" i="17"/>
  <c r="AD41" i="17"/>
  <c r="AB41" i="17"/>
  <c r="Z41" i="17"/>
  <c r="X41" i="17"/>
  <c r="V41" i="17"/>
  <c r="T41" i="17"/>
  <c r="R41" i="17"/>
  <c r="P41" i="17"/>
  <c r="N41" i="17"/>
  <c r="L41" i="17"/>
  <c r="J41" i="17"/>
  <c r="H41" i="17"/>
  <c r="AH40" i="17"/>
  <c r="AF40" i="17"/>
  <c r="AD40" i="17"/>
  <c r="AB40" i="17"/>
  <c r="Z40" i="17"/>
  <c r="X40" i="17"/>
  <c r="V40" i="17"/>
  <c r="T40" i="17"/>
  <c r="R40" i="17"/>
  <c r="P40" i="17"/>
  <c r="N40" i="17"/>
  <c r="L40" i="17"/>
  <c r="J40" i="17"/>
  <c r="H40" i="17"/>
  <c r="AH39" i="17"/>
  <c r="AF39" i="17"/>
  <c r="AD39" i="17"/>
  <c r="AB39" i="17"/>
  <c r="Z39" i="17"/>
  <c r="X39" i="17"/>
  <c r="V39" i="17"/>
  <c r="T39" i="17"/>
  <c r="R39" i="17"/>
  <c r="P39" i="17"/>
  <c r="N39" i="17"/>
  <c r="L39" i="17"/>
  <c r="J39" i="17"/>
  <c r="H39" i="17"/>
  <c r="AH38" i="17"/>
  <c r="AF38" i="17"/>
  <c r="AD38" i="17"/>
  <c r="AB38" i="17"/>
  <c r="Z38" i="17"/>
  <c r="X38" i="17"/>
  <c r="V38" i="17"/>
  <c r="T38" i="17"/>
  <c r="R38" i="17"/>
  <c r="P38" i="17"/>
  <c r="N38" i="17"/>
  <c r="L38" i="17"/>
  <c r="J38" i="17"/>
  <c r="H38" i="17"/>
  <c r="AH37" i="17"/>
  <c r="AF37" i="17"/>
  <c r="AD37" i="17"/>
  <c r="AB37" i="17"/>
  <c r="Z37" i="17"/>
  <c r="X37" i="17"/>
  <c r="V37" i="17"/>
  <c r="T37" i="17"/>
  <c r="R37" i="17"/>
  <c r="P37" i="17"/>
  <c r="N37" i="17"/>
  <c r="L37" i="17"/>
  <c r="J37" i="17"/>
  <c r="H37" i="17"/>
  <c r="AH36" i="17"/>
  <c r="AF36" i="17"/>
  <c r="AD36" i="17"/>
  <c r="AB36" i="17"/>
  <c r="Z36" i="17"/>
  <c r="X36" i="17"/>
  <c r="V36" i="17"/>
  <c r="T36" i="17"/>
  <c r="R36" i="17"/>
  <c r="P36" i="17"/>
  <c r="N36" i="17"/>
  <c r="L36" i="17"/>
  <c r="J36" i="17"/>
  <c r="H36" i="17"/>
  <c r="AH35" i="17"/>
  <c r="AF35" i="17"/>
  <c r="AD35" i="17"/>
  <c r="AB35" i="17"/>
  <c r="Z35" i="17"/>
  <c r="X35" i="17"/>
  <c r="V35" i="17"/>
  <c r="T35" i="17"/>
  <c r="R35" i="17"/>
  <c r="P35" i="17"/>
  <c r="N35" i="17"/>
  <c r="L35" i="17"/>
  <c r="J35" i="17"/>
  <c r="H35" i="17"/>
  <c r="AH34" i="17"/>
  <c r="AF34" i="17"/>
  <c r="AD34" i="17"/>
  <c r="AB34" i="17"/>
  <c r="Z34" i="17"/>
  <c r="X34" i="17"/>
  <c r="V34" i="17"/>
  <c r="T34" i="17"/>
  <c r="R34" i="17"/>
  <c r="P34" i="17"/>
  <c r="N34" i="17"/>
  <c r="L34" i="17"/>
  <c r="J34" i="17"/>
  <c r="H34" i="17"/>
  <c r="AH33" i="17"/>
  <c r="AF33" i="17"/>
  <c r="AD33" i="17"/>
  <c r="AB33" i="17"/>
  <c r="Z33" i="17"/>
  <c r="X33" i="17"/>
  <c r="V33" i="17"/>
  <c r="T33" i="17"/>
  <c r="R33" i="17"/>
  <c r="P33" i="17"/>
  <c r="N33" i="17"/>
  <c r="L33" i="17"/>
  <c r="J33" i="17"/>
  <c r="H33" i="17"/>
  <c r="AH32" i="17"/>
  <c r="AF32" i="17"/>
  <c r="AD32" i="17"/>
  <c r="AB32" i="17"/>
  <c r="Z32" i="17"/>
  <c r="X32" i="17"/>
  <c r="V32" i="17"/>
  <c r="T32" i="17"/>
  <c r="R32" i="17"/>
  <c r="P32" i="17"/>
  <c r="N32" i="17"/>
  <c r="L32" i="17"/>
  <c r="J32" i="17"/>
  <c r="H32" i="17"/>
  <c r="AH31" i="17"/>
  <c r="AF31" i="17"/>
  <c r="AD31" i="17"/>
  <c r="AB31" i="17"/>
  <c r="Z31" i="17"/>
  <c r="X31" i="17"/>
  <c r="V31" i="17"/>
  <c r="T31" i="17"/>
  <c r="R31" i="17"/>
  <c r="P31" i="17"/>
  <c r="N31" i="17"/>
  <c r="L31" i="17"/>
  <c r="J31" i="17"/>
  <c r="H31" i="17"/>
  <c r="AH30" i="17"/>
  <c r="AF30" i="17"/>
  <c r="AD30" i="17"/>
  <c r="AB30" i="17"/>
  <c r="Z30" i="17"/>
  <c r="X30" i="17"/>
  <c r="V30" i="17"/>
  <c r="T30" i="17"/>
  <c r="R30" i="17"/>
  <c r="P30" i="17"/>
  <c r="N30" i="17"/>
  <c r="L30" i="17"/>
  <c r="J30" i="17"/>
  <c r="H30" i="17"/>
  <c r="AH29" i="17"/>
  <c r="AF29" i="17"/>
  <c r="AD29" i="17"/>
  <c r="AB29" i="17"/>
  <c r="Z29" i="17"/>
  <c r="X29" i="17"/>
  <c r="V29" i="17"/>
  <c r="T29" i="17"/>
  <c r="R29" i="17"/>
  <c r="P29" i="17"/>
  <c r="N29" i="17"/>
  <c r="L29" i="17"/>
  <c r="J29" i="17"/>
  <c r="H29" i="17"/>
  <c r="AH28" i="17"/>
  <c r="AF28" i="17"/>
  <c r="AD28" i="17"/>
  <c r="AB28" i="17"/>
  <c r="Z28" i="17"/>
  <c r="X28" i="17"/>
  <c r="V28" i="17"/>
  <c r="T28" i="17"/>
  <c r="R28" i="17"/>
  <c r="P28" i="17"/>
  <c r="N28" i="17"/>
  <c r="L28" i="17"/>
  <c r="J28" i="17"/>
  <c r="H28" i="17"/>
  <c r="AH27" i="17"/>
  <c r="AF27" i="17"/>
  <c r="AD27" i="17"/>
  <c r="AB27" i="17"/>
  <c r="Z27" i="17"/>
  <c r="X27" i="17"/>
  <c r="V27" i="17"/>
  <c r="T27" i="17"/>
  <c r="R27" i="17"/>
  <c r="P27" i="17"/>
  <c r="N27" i="17"/>
  <c r="L27" i="17"/>
  <c r="J27" i="17"/>
  <c r="H27" i="17"/>
  <c r="AH26" i="17"/>
  <c r="AF26" i="17"/>
  <c r="AD26" i="17"/>
  <c r="AB26" i="17"/>
  <c r="Z26" i="17"/>
  <c r="X26" i="17"/>
  <c r="V26" i="17"/>
  <c r="T26" i="17"/>
  <c r="R26" i="17"/>
  <c r="P26" i="17"/>
  <c r="N26" i="17"/>
  <c r="L26" i="17"/>
  <c r="J26" i="17"/>
  <c r="H26" i="17"/>
  <c r="AH25" i="17"/>
  <c r="AF25" i="17"/>
  <c r="AD25" i="17"/>
  <c r="AB25" i="17"/>
  <c r="Z25" i="17"/>
  <c r="X25" i="17"/>
  <c r="V25" i="17"/>
  <c r="T25" i="17"/>
  <c r="R25" i="17"/>
  <c r="P25" i="17"/>
  <c r="N25" i="17"/>
  <c r="L25" i="17"/>
  <c r="J25" i="17"/>
  <c r="H25" i="17"/>
  <c r="AH24" i="17"/>
  <c r="AF24" i="17"/>
  <c r="AD24" i="17"/>
  <c r="AB24" i="17"/>
  <c r="Z24" i="17"/>
  <c r="X24" i="17"/>
  <c r="V24" i="17"/>
  <c r="T24" i="17"/>
  <c r="R24" i="17"/>
  <c r="P24" i="17"/>
  <c r="N24" i="17"/>
  <c r="L24" i="17"/>
  <c r="J24" i="17"/>
  <c r="H24" i="17"/>
  <c r="AH23" i="17"/>
  <c r="AF23" i="17"/>
  <c r="AD23" i="17"/>
  <c r="AB23" i="17"/>
  <c r="Z23" i="17"/>
  <c r="X23" i="17"/>
  <c r="V23" i="17"/>
  <c r="T23" i="17"/>
  <c r="R23" i="17"/>
  <c r="P23" i="17"/>
  <c r="N23" i="17"/>
  <c r="L23" i="17"/>
  <c r="J23" i="17"/>
  <c r="H23" i="17"/>
  <c r="AH22" i="17"/>
  <c r="AF22" i="17"/>
  <c r="AD22" i="17"/>
  <c r="AB22" i="17"/>
  <c r="Z22" i="17"/>
  <c r="X22" i="17"/>
  <c r="V22" i="17"/>
  <c r="T22" i="17"/>
  <c r="R22" i="17"/>
  <c r="P22" i="17"/>
  <c r="N22" i="17"/>
  <c r="L22" i="17"/>
  <c r="J22" i="17"/>
  <c r="H22" i="17"/>
  <c r="AH21" i="17"/>
  <c r="AF21" i="17"/>
  <c r="AD21" i="17"/>
  <c r="AB21" i="17"/>
  <c r="Z21" i="17"/>
  <c r="X21" i="17"/>
  <c r="V21" i="17"/>
  <c r="T21" i="17"/>
  <c r="R21" i="17"/>
  <c r="P21" i="17"/>
  <c r="N21" i="17"/>
  <c r="L21" i="17"/>
  <c r="J21" i="17"/>
  <c r="H21" i="17"/>
  <c r="AH20" i="17"/>
  <c r="AF20" i="17"/>
  <c r="AD20" i="17"/>
  <c r="AB20" i="17"/>
  <c r="Z20" i="17"/>
  <c r="X20" i="17"/>
  <c r="V20" i="17"/>
  <c r="T20" i="17"/>
  <c r="R20" i="17"/>
  <c r="P20" i="17"/>
  <c r="N20" i="17"/>
  <c r="L20" i="17"/>
  <c r="J20" i="17"/>
  <c r="H20" i="17"/>
  <c r="AH19" i="17"/>
  <c r="AF19" i="17"/>
  <c r="AD19" i="17"/>
  <c r="AB19" i="17"/>
  <c r="Z19" i="17"/>
  <c r="X19" i="17"/>
  <c r="V19" i="17"/>
  <c r="T19" i="17"/>
  <c r="R19" i="17"/>
  <c r="P19" i="17"/>
  <c r="N19" i="17"/>
  <c r="L19" i="17"/>
  <c r="J19" i="17"/>
  <c r="H19" i="17"/>
  <c r="AH18" i="17"/>
  <c r="AF18" i="17"/>
  <c r="AD18" i="17"/>
  <c r="AB18" i="17"/>
  <c r="Z18" i="17"/>
  <c r="X18" i="17"/>
  <c r="V18" i="17"/>
  <c r="T18" i="17"/>
  <c r="R18" i="17"/>
  <c r="P18" i="17"/>
  <c r="N18" i="17"/>
  <c r="L18" i="17"/>
  <c r="J18" i="17"/>
  <c r="H18" i="17"/>
  <c r="AH17" i="17"/>
  <c r="AF17" i="17"/>
  <c r="AD17" i="17"/>
  <c r="AB17" i="17"/>
  <c r="Z17" i="17"/>
  <c r="X17" i="17"/>
  <c r="V17" i="17"/>
  <c r="T17" i="17"/>
  <c r="R17" i="17"/>
  <c r="P17" i="17"/>
  <c r="N17" i="17"/>
  <c r="L17" i="17"/>
  <c r="J17" i="17"/>
  <c r="H17" i="17"/>
  <c r="AH16" i="17"/>
  <c r="AF16" i="17"/>
  <c r="AD16" i="17"/>
  <c r="AB16" i="17"/>
  <c r="Z16" i="17"/>
  <c r="X16" i="17"/>
  <c r="V16" i="17"/>
  <c r="T16" i="17"/>
  <c r="R16" i="17"/>
  <c r="P16" i="17"/>
  <c r="N16" i="17"/>
  <c r="L16" i="17"/>
  <c r="J16" i="17"/>
  <c r="H16" i="17"/>
  <c r="AH15" i="17"/>
  <c r="AF15" i="17"/>
  <c r="AD15" i="17"/>
  <c r="AB15" i="17"/>
  <c r="Z15" i="17"/>
  <c r="X15" i="17"/>
  <c r="V15" i="17"/>
  <c r="T15" i="17"/>
  <c r="R15" i="17"/>
  <c r="P15" i="17"/>
  <c r="N15" i="17"/>
  <c r="L15" i="17"/>
  <c r="J15" i="17"/>
  <c r="H15" i="17"/>
  <c r="AH14" i="17"/>
  <c r="AF14" i="17"/>
  <c r="AD14" i="17"/>
  <c r="AB14" i="17"/>
  <c r="Z14" i="17"/>
  <c r="X14" i="17"/>
  <c r="V14" i="17"/>
  <c r="T14" i="17"/>
  <c r="R14" i="17"/>
  <c r="P14" i="17"/>
  <c r="N14" i="17"/>
  <c r="L14" i="17"/>
  <c r="J14" i="17"/>
  <c r="H14" i="17"/>
  <c r="AH13" i="17"/>
  <c r="AF13" i="17"/>
  <c r="AD13" i="17"/>
  <c r="AB13" i="17"/>
  <c r="Z13" i="17"/>
  <c r="X13" i="17"/>
  <c r="V13" i="17"/>
  <c r="T13" i="17"/>
  <c r="R13" i="17"/>
  <c r="P13" i="17"/>
  <c r="N13" i="17"/>
  <c r="L13" i="17"/>
  <c r="J13" i="17"/>
  <c r="H13" i="17"/>
  <c r="AH12" i="17"/>
  <c r="AF12" i="17"/>
  <c r="AD12" i="17"/>
  <c r="AB12" i="17"/>
  <c r="Z12" i="17"/>
  <c r="X12" i="17"/>
  <c r="V12" i="17"/>
  <c r="T12" i="17"/>
  <c r="R12" i="17"/>
  <c r="P12" i="17"/>
  <c r="N12" i="17"/>
  <c r="L12" i="17"/>
  <c r="J12" i="17"/>
  <c r="H12" i="17"/>
  <c r="AH11" i="17"/>
  <c r="AF11" i="17"/>
  <c r="AD11" i="17"/>
  <c r="AB11" i="17"/>
  <c r="Z11" i="17"/>
  <c r="X11" i="17"/>
  <c r="V11" i="17"/>
  <c r="T11" i="17"/>
  <c r="R11" i="17"/>
  <c r="P11" i="17"/>
  <c r="N11" i="17"/>
  <c r="L11" i="17"/>
  <c r="J11" i="17"/>
  <c r="H11" i="17"/>
  <c r="AH10" i="17"/>
  <c r="AF10" i="17"/>
  <c r="AD10" i="17"/>
  <c r="AB10" i="17"/>
  <c r="Z10" i="17"/>
  <c r="X10" i="17"/>
  <c r="V10" i="17"/>
  <c r="T10" i="17"/>
  <c r="R10" i="17"/>
  <c r="P10" i="17"/>
  <c r="N10" i="17"/>
  <c r="L10" i="17"/>
  <c r="J10" i="17"/>
  <c r="H10" i="17"/>
  <c r="AH9" i="17"/>
  <c r="AF9" i="17"/>
  <c r="AD9" i="17"/>
  <c r="AB9" i="17"/>
  <c r="Z9" i="17"/>
  <c r="X9" i="17"/>
  <c r="V9" i="17"/>
  <c r="T9" i="17"/>
  <c r="R9" i="17"/>
  <c r="P9" i="17"/>
  <c r="N9" i="17"/>
  <c r="L9" i="17"/>
  <c r="J9" i="17"/>
  <c r="H9" i="17"/>
  <c r="AH8" i="17"/>
  <c r="AF8" i="17"/>
  <c r="AD8" i="17"/>
  <c r="AB8" i="17"/>
  <c r="Z8" i="17"/>
  <c r="X8" i="17"/>
  <c r="V8" i="17"/>
  <c r="T8" i="17"/>
  <c r="R8" i="17"/>
  <c r="P8" i="17"/>
  <c r="N8" i="17"/>
  <c r="L8" i="17"/>
  <c r="J8" i="17"/>
  <c r="H8" i="17"/>
  <c r="AH7" i="17"/>
  <c r="AF7" i="17"/>
  <c r="AD7" i="17"/>
  <c r="AB7" i="17"/>
  <c r="Z7" i="17"/>
  <c r="X7" i="17"/>
  <c r="V7" i="17"/>
  <c r="T7" i="17"/>
  <c r="R7" i="17"/>
  <c r="P7" i="17"/>
  <c r="N7" i="17"/>
  <c r="L7" i="17"/>
  <c r="J7" i="17"/>
  <c r="H7" i="17"/>
  <c r="AH6" i="17"/>
  <c r="AF6" i="17"/>
  <c r="AD6" i="17"/>
  <c r="AB6" i="17"/>
  <c r="Z6" i="17"/>
  <c r="X6" i="17"/>
  <c r="V6" i="17"/>
  <c r="T6" i="17"/>
  <c r="R6" i="17"/>
  <c r="P6" i="17"/>
  <c r="N6" i="17"/>
  <c r="L6" i="17"/>
  <c r="J6" i="17"/>
  <c r="H6" i="17"/>
  <c r="AH5" i="17"/>
  <c r="AF5" i="17"/>
  <c r="AD5" i="17"/>
  <c r="AB5" i="17"/>
  <c r="Z5" i="17"/>
  <c r="X5" i="17"/>
  <c r="V5" i="17"/>
  <c r="T5" i="17"/>
  <c r="R5" i="17"/>
  <c r="P5" i="17"/>
  <c r="N5" i="17"/>
  <c r="L5" i="17"/>
  <c r="J5" i="17"/>
  <c r="H5" i="17"/>
  <c r="AH4" i="17"/>
  <c r="AF4" i="17"/>
  <c r="AD4" i="17"/>
  <c r="AB4" i="17"/>
  <c r="Z4" i="17"/>
  <c r="X4" i="17"/>
  <c r="V4" i="17"/>
  <c r="T4" i="17"/>
  <c r="R4" i="17"/>
  <c r="P4" i="17"/>
  <c r="N4" i="17"/>
  <c r="L4" i="17"/>
  <c r="J4" i="17"/>
  <c r="H4" i="17"/>
  <c r="AH3" i="17"/>
  <c r="AF3" i="17"/>
  <c r="AD3" i="17"/>
  <c r="AB3" i="17"/>
  <c r="Z3" i="17"/>
  <c r="X3" i="17"/>
  <c r="V3" i="17"/>
  <c r="T3" i="17"/>
  <c r="R3" i="17"/>
  <c r="P3" i="17"/>
  <c r="N3" i="17"/>
  <c r="L3" i="17"/>
  <c r="J3" i="17"/>
  <c r="H3" i="17"/>
  <c r="AH2" i="17"/>
  <c r="AF2" i="17"/>
  <c r="AD2" i="17"/>
  <c r="AB2" i="17"/>
  <c r="Z2" i="17"/>
  <c r="X2" i="17"/>
  <c r="V2" i="17"/>
  <c r="T2" i="17"/>
  <c r="R2" i="17"/>
  <c r="P2" i="17"/>
  <c r="N2" i="17"/>
  <c r="L2" i="17"/>
  <c r="J2" i="17"/>
  <c r="H2" i="17"/>
  <c r="AI295" i="7"/>
  <c r="AG295" i="7"/>
  <c r="AE295" i="7"/>
  <c r="AC295" i="7"/>
  <c r="AA295" i="7"/>
  <c r="Y295" i="7"/>
  <c r="W295" i="7"/>
  <c r="U295" i="7"/>
  <c r="S295" i="7"/>
  <c r="Q295" i="7"/>
  <c r="O295" i="7"/>
  <c r="M295" i="7"/>
  <c r="K295" i="7"/>
  <c r="I295" i="7"/>
  <c r="AI294" i="7"/>
  <c r="AG294" i="7"/>
  <c r="AE294" i="7"/>
  <c r="AC294" i="7"/>
  <c r="AA294" i="7"/>
  <c r="Y294" i="7"/>
  <c r="W294" i="7"/>
  <c r="U294" i="7"/>
  <c r="S294" i="7"/>
  <c r="Q294" i="7"/>
  <c r="O294" i="7"/>
  <c r="M294" i="7"/>
  <c r="K294" i="7"/>
  <c r="I294" i="7"/>
  <c r="AI293" i="7"/>
  <c r="AG293" i="7"/>
  <c r="AE293" i="7"/>
  <c r="AC293" i="7"/>
  <c r="AA293" i="7"/>
  <c r="Y293" i="7"/>
  <c r="W293" i="7"/>
  <c r="U293" i="7"/>
  <c r="S293" i="7"/>
  <c r="Q293" i="7"/>
  <c r="O293" i="7"/>
  <c r="M293" i="7"/>
  <c r="K293" i="7"/>
  <c r="I293" i="7"/>
  <c r="AI292" i="7"/>
  <c r="AG292" i="7"/>
  <c r="AE292" i="7"/>
  <c r="AC292" i="7"/>
  <c r="AA292" i="7"/>
  <c r="Y292" i="7"/>
  <c r="W292" i="7"/>
  <c r="U292" i="7"/>
  <c r="S292" i="7"/>
  <c r="Q292" i="7"/>
  <c r="O292" i="7"/>
  <c r="M292" i="7"/>
  <c r="K292" i="7"/>
  <c r="I292" i="7"/>
  <c r="AI291" i="7"/>
  <c r="AG291" i="7"/>
  <c r="AE291" i="7"/>
  <c r="AC291" i="7"/>
  <c r="AA291" i="7"/>
  <c r="Y291" i="7"/>
  <c r="W291" i="7"/>
  <c r="U291" i="7"/>
  <c r="S291" i="7"/>
  <c r="Q291" i="7"/>
  <c r="O291" i="7"/>
  <c r="M291" i="7"/>
  <c r="K291" i="7"/>
  <c r="I291" i="7"/>
  <c r="AI290" i="7"/>
  <c r="AG290" i="7"/>
  <c r="AE290" i="7"/>
  <c r="AC290" i="7"/>
  <c r="AA290" i="7"/>
  <c r="Y290" i="7"/>
  <c r="W290" i="7"/>
  <c r="U290" i="7"/>
  <c r="S290" i="7"/>
  <c r="Q290" i="7"/>
  <c r="O290" i="7"/>
  <c r="M290" i="7"/>
  <c r="K290" i="7"/>
  <c r="I290" i="7"/>
  <c r="AI289" i="7"/>
  <c r="AG289" i="7"/>
  <c r="AE289" i="7"/>
  <c r="AC289" i="7"/>
  <c r="AA289" i="7"/>
  <c r="Y289" i="7"/>
  <c r="W289" i="7"/>
  <c r="U289" i="7"/>
  <c r="S289" i="7"/>
  <c r="Q289" i="7"/>
  <c r="O289" i="7"/>
  <c r="M289" i="7"/>
  <c r="K289" i="7"/>
  <c r="I289" i="7"/>
  <c r="AI288" i="7"/>
  <c r="AG288" i="7"/>
  <c r="AE288" i="7"/>
  <c r="AC288" i="7"/>
  <c r="AA288" i="7"/>
  <c r="Y288" i="7"/>
  <c r="W288" i="7"/>
  <c r="U288" i="7"/>
  <c r="S288" i="7"/>
  <c r="Q288" i="7"/>
  <c r="O288" i="7"/>
  <c r="M288" i="7"/>
  <c r="K288" i="7"/>
  <c r="I288" i="7"/>
  <c r="AI287" i="7"/>
  <c r="AG287" i="7"/>
  <c r="AE287" i="7"/>
  <c r="AC287" i="7"/>
  <c r="AA287" i="7"/>
  <c r="Y287" i="7"/>
  <c r="W287" i="7"/>
  <c r="U287" i="7"/>
  <c r="S287" i="7"/>
  <c r="Q287" i="7"/>
  <c r="O287" i="7"/>
  <c r="M287" i="7"/>
  <c r="K287" i="7"/>
  <c r="I287" i="7"/>
  <c r="AI286" i="7"/>
  <c r="AG286" i="7"/>
  <c r="AE286" i="7"/>
  <c r="AC286" i="7"/>
  <c r="AA286" i="7"/>
  <c r="Y286" i="7"/>
  <c r="W286" i="7"/>
  <c r="U286" i="7"/>
  <c r="S286" i="7"/>
  <c r="Q286" i="7"/>
  <c r="O286" i="7"/>
  <c r="M286" i="7"/>
  <c r="K286" i="7"/>
  <c r="I286" i="7"/>
  <c r="AI285" i="7"/>
  <c r="AG285" i="7"/>
  <c r="AE285" i="7"/>
  <c r="AC285" i="7"/>
  <c r="AA285" i="7"/>
  <c r="Y285" i="7"/>
  <c r="W285" i="7"/>
  <c r="U285" i="7"/>
  <c r="S285" i="7"/>
  <c r="Q285" i="7"/>
  <c r="O285" i="7"/>
  <c r="M285" i="7"/>
  <c r="K285" i="7"/>
  <c r="I285" i="7"/>
  <c r="AI284" i="7"/>
  <c r="AG284" i="7"/>
  <c r="AE284" i="7"/>
  <c r="AC284" i="7"/>
  <c r="AA284" i="7"/>
  <c r="Y284" i="7"/>
  <c r="W284" i="7"/>
  <c r="U284" i="7"/>
  <c r="S284" i="7"/>
  <c r="Q284" i="7"/>
  <c r="O284" i="7"/>
  <c r="M284" i="7"/>
  <c r="K284" i="7"/>
  <c r="I284" i="7"/>
  <c r="AI283" i="7"/>
  <c r="AG283" i="7"/>
  <c r="AE283" i="7"/>
  <c r="AC283" i="7"/>
  <c r="AA283" i="7"/>
  <c r="Y283" i="7"/>
  <c r="W283" i="7"/>
  <c r="U283" i="7"/>
  <c r="S283" i="7"/>
  <c r="Q283" i="7"/>
  <c r="O283" i="7"/>
  <c r="M283" i="7"/>
  <c r="K283" i="7"/>
  <c r="I283" i="7"/>
  <c r="AI282" i="7"/>
  <c r="AG282" i="7"/>
  <c r="AE282" i="7"/>
  <c r="AC282" i="7"/>
  <c r="AA282" i="7"/>
  <c r="Y282" i="7"/>
  <c r="W282" i="7"/>
  <c r="U282" i="7"/>
  <c r="S282" i="7"/>
  <c r="Q282" i="7"/>
  <c r="O282" i="7"/>
  <c r="M282" i="7"/>
  <c r="K282" i="7"/>
  <c r="I282" i="7"/>
  <c r="AI281" i="7"/>
  <c r="AG281" i="7"/>
  <c r="AE281" i="7"/>
  <c r="AC281" i="7"/>
  <c r="AA281" i="7"/>
  <c r="Y281" i="7"/>
  <c r="W281" i="7"/>
  <c r="U281" i="7"/>
  <c r="S281" i="7"/>
  <c r="Q281" i="7"/>
  <c r="O281" i="7"/>
  <c r="M281" i="7"/>
  <c r="K281" i="7"/>
  <c r="I281" i="7"/>
  <c r="AI280" i="7"/>
  <c r="AG280" i="7"/>
  <c r="AE280" i="7"/>
  <c r="AC280" i="7"/>
  <c r="AA280" i="7"/>
  <c r="Y280" i="7"/>
  <c r="W280" i="7"/>
  <c r="U280" i="7"/>
  <c r="S280" i="7"/>
  <c r="Q280" i="7"/>
  <c r="O280" i="7"/>
  <c r="M280" i="7"/>
  <c r="K280" i="7"/>
  <c r="I280" i="7"/>
  <c r="AI279" i="7"/>
  <c r="AG279" i="7"/>
  <c r="AE279" i="7"/>
  <c r="AC279" i="7"/>
  <c r="AA279" i="7"/>
  <c r="Y279" i="7"/>
  <c r="W279" i="7"/>
  <c r="U279" i="7"/>
  <c r="S279" i="7"/>
  <c r="Q279" i="7"/>
  <c r="O279" i="7"/>
  <c r="M279" i="7"/>
  <c r="K279" i="7"/>
  <c r="I279" i="7"/>
  <c r="AI278" i="7"/>
  <c r="AG278" i="7"/>
  <c r="AE278" i="7"/>
  <c r="AC278" i="7"/>
  <c r="AA278" i="7"/>
  <c r="Y278" i="7"/>
  <c r="W278" i="7"/>
  <c r="U278" i="7"/>
  <c r="S278" i="7"/>
  <c r="Q278" i="7"/>
  <c r="O278" i="7"/>
  <c r="M278" i="7"/>
  <c r="K278" i="7"/>
  <c r="I278" i="7"/>
  <c r="AI277" i="7"/>
  <c r="AG277" i="7"/>
  <c r="AE277" i="7"/>
  <c r="AC277" i="7"/>
  <c r="AA277" i="7"/>
  <c r="Y277" i="7"/>
  <c r="W277" i="7"/>
  <c r="U277" i="7"/>
  <c r="S277" i="7"/>
  <c r="Q277" i="7"/>
  <c r="O277" i="7"/>
  <c r="M277" i="7"/>
  <c r="K277" i="7"/>
  <c r="I277" i="7"/>
  <c r="AI276" i="7"/>
  <c r="AG276" i="7"/>
  <c r="AE276" i="7"/>
  <c r="AC276" i="7"/>
  <c r="AA276" i="7"/>
  <c r="Y276" i="7"/>
  <c r="W276" i="7"/>
  <c r="U276" i="7"/>
  <c r="S276" i="7"/>
  <c r="Q276" i="7"/>
  <c r="O276" i="7"/>
  <c r="M276" i="7"/>
  <c r="K276" i="7"/>
  <c r="I276" i="7"/>
  <c r="AI275" i="7"/>
  <c r="AG275" i="7"/>
  <c r="AE275" i="7"/>
  <c r="AC275" i="7"/>
  <c r="AA275" i="7"/>
  <c r="Y275" i="7"/>
  <c r="W275" i="7"/>
  <c r="U275" i="7"/>
  <c r="S275" i="7"/>
  <c r="Q275" i="7"/>
  <c r="O275" i="7"/>
  <c r="M275" i="7"/>
  <c r="K275" i="7"/>
  <c r="I275" i="7"/>
  <c r="AI274" i="7"/>
  <c r="AG274" i="7"/>
  <c r="AE274" i="7"/>
  <c r="AC274" i="7"/>
  <c r="AA274" i="7"/>
  <c r="Y274" i="7"/>
  <c r="W274" i="7"/>
  <c r="U274" i="7"/>
  <c r="S274" i="7"/>
  <c r="Q274" i="7"/>
  <c r="O274" i="7"/>
  <c r="M274" i="7"/>
  <c r="K274" i="7"/>
  <c r="I274" i="7"/>
  <c r="AI273" i="7"/>
  <c r="AG273" i="7"/>
  <c r="AE273" i="7"/>
  <c r="AC273" i="7"/>
  <c r="AA273" i="7"/>
  <c r="Y273" i="7"/>
  <c r="W273" i="7"/>
  <c r="U273" i="7"/>
  <c r="S273" i="7"/>
  <c r="Q273" i="7"/>
  <c r="O273" i="7"/>
  <c r="M273" i="7"/>
  <c r="K273" i="7"/>
  <c r="I273" i="7"/>
  <c r="AI272" i="7"/>
  <c r="AG272" i="7"/>
  <c r="AE272" i="7"/>
  <c r="AC272" i="7"/>
  <c r="AA272" i="7"/>
  <c r="Y272" i="7"/>
  <c r="W272" i="7"/>
  <c r="U272" i="7"/>
  <c r="S272" i="7"/>
  <c r="Q272" i="7"/>
  <c r="O272" i="7"/>
  <c r="M272" i="7"/>
  <c r="K272" i="7"/>
  <c r="I272" i="7"/>
  <c r="AI271" i="7"/>
  <c r="AG271" i="7"/>
  <c r="AE271" i="7"/>
  <c r="AC271" i="7"/>
  <c r="AA271" i="7"/>
  <c r="Y271" i="7"/>
  <c r="W271" i="7"/>
  <c r="U271" i="7"/>
  <c r="S271" i="7"/>
  <c r="Q271" i="7"/>
  <c r="O271" i="7"/>
  <c r="M271" i="7"/>
  <c r="K271" i="7"/>
  <c r="I271" i="7"/>
  <c r="AI270" i="7"/>
  <c r="AG270" i="7"/>
  <c r="AE270" i="7"/>
  <c r="AC270" i="7"/>
  <c r="AA270" i="7"/>
  <c r="Y270" i="7"/>
  <c r="W270" i="7"/>
  <c r="U270" i="7"/>
  <c r="S270" i="7"/>
  <c r="Q270" i="7"/>
  <c r="O270" i="7"/>
  <c r="M270" i="7"/>
  <c r="K270" i="7"/>
  <c r="I270" i="7"/>
  <c r="AI269" i="7"/>
  <c r="AG269" i="7"/>
  <c r="AE269" i="7"/>
  <c r="AC269" i="7"/>
  <c r="AA269" i="7"/>
  <c r="Y269" i="7"/>
  <c r="W269" i="7"/>
  <c r="U269" i="7"/>
  <c r="S269" i="7"/>
  <c r="Q269" i="7"/>
  <c r="O269" i="7"/>
  <c r="M269" i="7"/>
  <c r="K269" i="7"/>
  <c r="I269" i="7"/>
  <c r="AI268" i="7"/>
  <c r="AG268" i="7"/>
  <c r="AE268" i="7"/>
  <c r="AC268" i="7"/>
  <c r="AA268" i="7"/>
  <c r="Y268" i="7"/>
  <c r="W268" i="7"/>
  <c r="U268" i="7"/>
  <c r="S268" i="7"/>
  <c r="Q268" i="7"/>
  <c r="O268" i="7"/>
  <c r="M268" i="7"/>
  <c r="K268" i="7"/>
  <c r="I268" i="7"/>
  <c r="AI267" i="7"/>
  <c r="AG267" i="7"/>
  <c r="AE267" i="7"/>
  <c r="AC267" i="7"/>
  <c r="AA267" i="7"/>
  <c r="Y267" i="7"/>
  <c r="W267" i="7"/>
  <c r="U267" i="7"/>
  <c r="S267" i="7"/>
  <c r="Q267" i="7"/>
  <c r="O267" i="7"/>
  <c r="M267" i="7"/>
  <c r="K267" i="7"/>
  <c r="I267" i="7"/>
  <c r="AI266" i="7"/>
  <c r="AG266" i="7"/>
  <c r="AE266" i="7"/>
  <c r="AC266" i="7"/>
  <c r="AA266" i="7"/>
  <c r="Y266" i="7"/>
  <c r="W266" i="7"/>
  <c r="U266" i="7"/>
  <c r="S266" i="7"/>
  <c r="Q266" i="7"/>
  <c r="O266" i="7"/>
  <c r="M266" i="7"/>
  <c r="K266" i="7"/>
  <c r="I266" i="7"/>
  <c r="AI265" i="7"/>
  <c r="AG265" i="7"/>
  <c r="AE265" i="7"/>
  <c r="AC265" i="7"/>
  <c r="AA265" i="7"/>
  <c r="Y265" i="7"/>
  <c r="W265" i="7"/>
  <c r="U265" i="7"/>
  <c r="S265" i="7"/>
  <c r="Q265" i="7"/>
  <c r="O265" i="7"/>
  <c r="M265" i="7"/>
  <c r="K265" i="7"/>
  <c r="I265" i="7"/>
  <c r="AI264" i="7"/>
  <c r="AG264" i="7"/>
  <c r="AE264" i="7"/>
  <c r="AC264" i="7"/>
  <c r="AA264" i="7"/>
  <c r="Y264" i="7"/>
  <c r="W264" i="7"/>
  <c r="U264" i="7"/>
  <c r="S264" i="7"/>
  <c r="Q264" i="7"/>
  <c r="O264" i="7"/>
  <c r="M264" i="7"/>
  <c r="K264" i="7"/>
  <c r="I264" i="7"/>
  <c r="AI263" i="7"/>
  <c r="AG263" i="7"/>
  <c r="AE263" i="7"/>
  <c r="AC263" i="7"/>
  <c r="AA263" i="7"/>
  <c r="Y263" i="7"/>
  <c r="W263" i="7"/>
  <c r="U263" i="7"/>
  <c r="S263" i="7"/>
  <c r="Q263" i="7"/>
  <c r="O263" i="7"/>
  <c r="M263" i="7"/>
  <c r="K263" i="7"/>
  <c r="I263" i="7"/>
  <c r="AI262" i="7"/>
  <c r="AG262" i="7"/>
  <c r="AE262" i="7"/>
  <c r="AC262" i="7"/>
  <c r="AA262" i="7"/>
  <c r="Y262" i="7"/>
  <c r="W262" i="7"/>
  <c r="U262" i="7"/>
  <c r="S262" i="7"/>
  <c r="Q262" i="7"/>
  <c r="O262" i="7"/>
  <c r="M262" i="7"/>
  <c r="K262" i="7"/>
  <c r="I262" i="7"/>
  <c r="AI261" i="7"/>
  <c r="AG261" i="7"/>
  <c r="AE261" i="7"/>
  <c r="AC261" i="7"/>
  <c r="AA261" i="7"/>
  <c r="Y261" i="7"/>
  <c r="W261" i="7"/>
  <c r="U261" i="7"/>
  <c r="S261" i="7"/>
  <c r="Q261" i="7"/>
  <c r="O261" i="7"/>
  <c r="M261" i="7"/>
  <c r="K261" i="7"/>
  <c r="I261" i="7"/>
  <c r="AI260" i="7"/>
  <c r="AG260" i="7"/>
  <c r="AE260" i="7"/>
  <c r="AC260" i="7"/>
  <c r="AA260" i="7"/>
  <c r="Y260" i="7"/>
  <c r="W260" i="7"/>
  <c r="U260" i="7"/>
  <c r="S260" i="7"/>
  <c r="Q260" i="7"/>
  <c r="O260" i="7"/>
  <c r="M260" i="7"/>
  <c r="K260" i="7"/>
  <c r="I260" i="7"/>
  <c r="AI259" i="7"/>
  <c r="AG259" i="7"/>
  <c r="AE259" i="7"/>
  <c r="AC259" i="7"/>
  <c r="AA259" i="7"/>
  <c r="Y259" i="7"/>
  <c r="W259" i="7"/>
  <c r="U259" i="7"/>
  <c r="S259" i="7"/>
  <c r="Q259" i="7"/>
  <c r="O259" i="7"/>
  <c r="M259" i="7"/>
  <c r="K259" i="7"/>
  <c r="I259" i="7"/>
  <c r="AI258" i="7"/>
  <c r="AG258" i="7"/>
  <c r="AE258" i="7"/>
  <c r="AC258" i="7"/>
  <c r="AA258" i="7"/>
  <c r="Y258" i="7"/>
  <c r="W258" i="7"/>
  <c r="U258" i="7"/>
  <c r="S258" i="7"/>
  <c r="Q258" i="7"/>
  <c r="O258" i="7"/>
  <c r="M258" i="7"/>
  <c r="K258" i="7"/>
  <c r="I258" i="7"/>
  <c r="AI257" i="7"/>
  <c r="AG257" i="7"/>
  <c r="AE257" i="7"/>
  <c r="AC257" i="7"/>
  <c r="AA257" i="7"/>
  <c r="Y257" i="7"/>
  <c r="W257" i="7"/>
  <c r="U257" i="7"/>
  <c r="S257" i="7"/>
  <c r="Q257" i="7"/>
  <c r="O257" i="7"/>
  <c r="M257" i="7"/>
  <c r="K257" i="7"/>
  <c r="I257" i="7"/>
  <c r="AI256" i="7"/>
  <c r="AG256" i="7"/>
  <c r="AE256" i="7"/>
  <c r="AC256" i="7"/>
  <c r="AA256" i="7"/>
  <c r="Y256" i="7"/>
  <c r="W256" i="7"/>
  <c r="U256" i="7"/>
  <c r="S256" i="7"/>
  <c r="Q256" i="7"/>
  <c r="O256" i="7"/>
  <c r="M256" i="7"/>
  <c r="K256" i="7"/>
  <c r="I256" i="7"/>
  <c r="AI255" i="7"/>
  <c r="AG255" i="7"/>
  <c r="AE255" i="7"/>
  <c r="AC255" i="7"/>
  <c r="AA255" i="7"/>
  <c r="Y255" i="7"/>
  <c r="W255" i="7"/>
  <c r="U255" i="7"/>
  <c r="S255" i="7"/>
  <c r="Q255" i="7"/>
  <c r="O255" i="7"/>
  <c r="M255" i="7"/>
  <c r="K255" i="7"/>
  <c r="I255" i="7"/>
  <c r="AI254" i="7"/>
  <c r="AG254" i="7"/>
  <c r="AE254" i="7"/>
  <c r="AC254" i="7"/>
  <c r="AA254" i="7"/>
  <c r="Y254" i="7"/>
  <c r="W254" i="7"/>
  <c r="U254" i="7"/>
  <c r="S254" i="7"/>
  <c r="Q254" i="7"/>
  <c r="O254" i="7"/>
  <c r="M254" i="7"/>
  <c r="K254" i="7"/>
  <c r="I254" i="7"/>
  <c r="AI253" i="7"/>
  <c r="AG253" i="7"/>
  <c r="AE253" i="7"/>
  <c r="AC253" i="7"/>
  <c r="AA253" i="7"/>
  <c r="Y253" i="7"/>
  <c r="W253" i="7"/>
  <c r="U253" i="7"/>
  <c r="S253" i="7"/>
  <c r="Q253" i="7"/>
  <c r="O253" i="7"/>
  <c r="M253" i="7"/>
  <c r="K253" i="7"/>
  <c r="I253" i="7"/>
  <c r="AI252" i="7"/>
  <c r="AG252" i="7"/>
  <c r="AE252" i="7"/>
  <c r="AC252" i="7"/>
  <c r="AA252" i="7"/>
  <c r="Y252" i="7"/>
  <c r="W252" i="7"/>
  <c r="U252" i="7"/>
  <c r="S252" i="7"/>
  <c r="Q252" i="7"/>
  <c r="O252" i="7"/>
  <c r="M252" i="7"/>
  <c r="K252" i="7"/>
  <c r="I252" i="7"/>
  <c r="AI251" i="7"/>
  <c r="AG251" i="7"/>
  <c r="AE251" i="7"/>
  <c r="AC251" i="7"/>
  <c r="AA251" i="7"/>
  <c r="Y251" i="7"/>
  <c r="W251" i="7"/>
  <c r="U251" i="7"/>
  <c r="S251" i="7"/>
  <c r="Q251" i="7"/>
  <c r="O251" i="7"/>
  <c r="M251" i="7"/>
  <c r="K251" i="7"/>
  <c r="I251" i="7"/>
  <c r="AI250" i="7"/>
  <c r="AG250" i="7"/>
  <c r="AE250" i="7"/>
  <c r="AC250" i="7"/>
  <c r="AA250" i="7"/>
  <c r="Y250" i="7"/>
  <c r="W250" i="7"/>
  <c r="U250" i="7"/>
  <c r="S250" i="7"/>
  <c r="Q250" i="7"/>
  <c r="O250" i="7"/>
  <c r="M250" i="7"/>
  <c r="K250" i="7"/>
  <c r="I250" i="7"/>
  <c r="AI249" i="7"/>
  <c r="AG249" i="7"/>
  <c r="AE249" i="7"/>
  <c r="AC249" i="7"/>
  <c r="AA249" i="7"/>
  <c r="Y249" i="7"/>
  <c r="W249" i="7"/>
  <c r="U249" i="7"/>
  <c r="S249" i="7"/>
  <c r="Q249" i="7"/>
  <c r="O249" i="7"/>
  <c r="M249" i="7"/>
  <c r="K249" i="7"/>
  <c r="I249" i="7"/>
  <c r="AI248" i="7"/>
  <c r="AG248" i="7"/>
  <c r="AE248" i="7"/>
  <c r="AC248" i="7"/>
  <c r="AA248" i="7"/>
  <c r="Y248" i="7"/>
  <c r="W248" i="7"/>
  <c r="U248" i="7"/>
  <c r="S248" i="7"/>
  <c r="Q248" i="7"/>
  <c r="O248" i="7"/>
  <c r="M248" i="7"/>
  <c r="K248" i="7"/>
  <c r="I248" i="7"/>
  <c r="AI247" i="7"/>
  <c r="AG247" i="7"/>
  <c r="AE247" i="7"/>
  <c r="AC247" i="7"/>
  <c r="AA247" i="7"/>
  <c r="Y247" i="7"/>
  <c r="W247" i="7"/>
  <c r="U247" i="7"/>
  <c r="S247" i="7"/>
  <c r="Q247" i="7"/>
  <c r="O247" i="7"/>
  <c r="M247" i="7"/>
  <c r="K247" i="7"/>
  <c r="I247" i="7"/>
  <c r="AI197" i="7"/>
  <c r="AG197" i="7"/>
  <c r="AE197" i="7"/>
  <c r="AC197" i="7"/>
  <c r="AA197" i="7"/>
  <c r="Y197" i="7"/>
  <c r="W197" i="7"/>
  <c r="U197" i="7"/>
  <c r="S197" i="7"/>
  <c r="Q197" i="7"/>
  <c r="O197" i="7"/>
  <c r="M197" i="7"/>
  <c r="K197" i="7"/>
  <c r="I197" i="7"/>
  <c r="AI196" i="7"/>
  <c r="AG196" i="7"/>
  <c r="AE196" i="7"/>
  <c r="AC196" i="7"/>
  <c r="AA196" i="7"/>
  <c r="Y196" i="7"/>
  <c r="W196" i="7"/>
  <c r="U196" i="7"/>
  <c r="S196" i="7"/>
  <c r="Q196" i="7"/>
  <c r="O196" i="7"/>
  <c r="M196" i="7"/>
  <c r="K196" i="7"/>
  <c r="I196" i="7"/>
  <c r="AI195" i="7"/>
  <c r="AG195" i="7"/>
  <c r="AE195" i="7"/>
  <c r="AC195" i="7"/>
  <c r="AA195" i="7"/>
  <c r="Y195" i="7"/>
  <c r="W195" i="7"/>
  <c r="U195" i="7"/>
  <c r="S195" i="7"/>
  <c r="Q195" i="7"/>
  <c r="O195" i="7"/>
  <c r="M195" i="7"/>
  <c r="K195" i="7"/>
  <c r="I195" i="7"/>
  <c r="AI194" i="7"/>
  <c r="AG194" i="7"/>
  <c r="AE194" i="7"/>
  <c r="AC194" i="7"/>
  <c r="AA194" i="7"/>
  <c r="Y194" i="7"/>
  <c r="W194" i="7"/>
  <c r="U194" i="7"/>
  <c r="S194" i="7"/>
  <c r="Q194" i="7"/>
  <c r="O194" i="7"/>
  <c r="M194" i="7"/>
  <c r="K194" i="7"/>
  <c r="I194" i="7"/>
  <c r="AI193" i="7"/>
  <c r="AG193" i="7"/>
  <c r="AE193" i="7"/>
  <c r="AC193" i="7"/>
  <c r="AA193" i="7"/>
  <c r="Y193" i="7"/>
  <c r="W193" i="7"/>
  <c r="U193" i="7"/>
  <c r="S193" i="7"/>
  <c r="Q193" i="7"/>
  <c r="O193" i="7"/>
  <c r="M193" i="7"/>
  <c r="K193" i="7"/>
  <c r="I193" i="7"/>
  <c r="AI192" i="7"/>
  <c r="AG192" i="7"/>
  <c r="AE192" i="7"/>
  <c r="AC192" i="7"/>
  <c r="AA192" i="7"/>
  <c r="Y192" i="7"/>
  <c r="W192" i="7"/>
  <c r="U192" i="7"/>
  <c r="S192" i="7"/>
  <c r="Q192" i="7"/>
  <c r="O192" i="7"/>
  <c r="M192" i="7"/>
  <c r="K192" i="7"/>
  <c r="I192" i="7"/>
  <c r="AI191" i="7"/>
  <c r="AG191" i="7"/>
  <c r="AE191" i="7"/>
  <c r="AC191" i="7"/>
  <c r="AA191" i="7"/>
  <c r="Y191" i="7"/>
  <c r="W191" i="7"/>
  <c r="U191" i="7"/>
  <c r="S191" i="7"/>
  <c r="Q191" i="7"/>
  <c r="O191" i="7"/>
  <c r="M191" i="7"/>
  <c r="K191" i="7"/>
  <c r="I191" i="7"/>
  <c r="AI190" i="7"/>
  <c r="AG190" i="7"/>
  <c r="AE190" i="7"/>
  <c r="AC190" i="7"/>
  <c r="AA190" i="7"/>
  <c r="Y190" i="7"/>
  <c r="W190" i="7"/>
  <c r="U190" i="7"/>
  <c r="S190" i="7"/>
  <c r="Q190" i="7"/>
  <c r="O190" i="7"/>
  <c r="M190" i="7"/>
  <c r="K190" i="7"/>
  <c r="I190" i="7"/>
  <c r="AI189" i="7"/>
  <c r="AG189" i="7"/>
  <c r="AE189" i="7"/>
  <c r="AC189" i="7"/>
  <c r="AA189" i="7"/>
  <c r="Y189" i="7"/>
  <c r="W189" i="7"/>
  <c r="U189" i="7"/>
  <c r="S189" i="7"/>
  <c r="Q189" i="7"/>
  <c r="O189" i="7"/>
  <c r="M189" i="7"/>
  <c r="K189" i="7"/>
  <c r="I189" i="7"/>
  <c r="AI188" i="7"/>
  <c r="AG188" i="7"/>
  <c r="AE188" i="7"/>
  <c r="AC188" i="7"/>
  <c r="AA188" i="7"/>
  <c r="Y188" i="7"/>
  <c r="W188" i="7"/>
  <c r="U188" i="7"/>
  <c r="S188" i="7"/>
  <c r="Q188" i="7"/>
  <c r="O188" i="7"/>
  <c r="M188" i="7"/>
  <c r="K188" i="7"/>
  <c r="I188" i="7"/>
  <c r="AI187" i="7"/>
  <c r="AG187" i="7"/>
  <c r="AE187" i="7"/>
  <c r="AC187" i="7"/>
  <c r="AA187" i="7"/>
  <c r="Y187" i="7"/>
  <c r="W187" i="7"/>
  <c r="U187" i="7"/>
  <c r="S187" i="7"/>
  <c r="Q187" i="7"/>
  <c r="O187" i="7"/>
  <c r="M187" i="7"/>
  <c r="K187" i="7"/>
  <c r="I187" i="7"/>
  <c r="AI186" i="7"/>
  <c r="AG186" i="7"/>
  <c r="AE186" i="7"/>
  <c r="AC186" i="7"/>
  <c r="AA186" i="7"/>
  <c r="Y186" i="7"/>
  <c r="W186" i="7"/>
  <c r="U186" i="7"/>
  <c r="S186" i="7"/>
  <c r="Q186" i="7"/>
  <c r="O186" i="7"/>
  <c r="M186" i="7"/>
  <c r="K186" i="7"/>
  <c r="I186" i="7"/>
  <c r="AI185" i="7"/>
  <c r="AG185" i="7"/>
  <c r="AE185" i="7"/>
  <c r="AC185" i="7"/>
  <c r="AA185" i="7"/>
  <c r="Y185" i="7"/>
  <c r="W185" i="7"/>
  <c r="U185" i="7"/>
  <c r="S185" i="7"/>
  <c r="Q185" i="7"/>
  <c r="O185" i="7"/>
  <c r="M185" i="7"/>
  <c r="K185" i="7"/>
  <c r="I185" i="7"/>
  <c r="AI184" i="7"/>
  <c r="AG184" i="7"/>
  <c r="AE184" i="7"/>
  <c r="AC184" i="7"/>
  <c r="AA184" i="7"/>
  <c r="Y184" i="7"/>
  <c r="W184" i="7"/>
  <c r="U184" i="7"/>
  <c r="S184" i="7"/>
  <c r="Q184" i="7"/>
  <c r="O184" i="7"/>
  <c r="M184" i="7"/>
  <c r="K184" i="7"/>
  <c r="I184" i="7"/>
  <c r="AI183" i="7"/>
  <c r="AG183" i="7"/>
  <c r="AE183" i="7"/>
  <c r="AC183" i="7"/>
  <c r="AA183" i="7"/>
  <c r="Y183" i="7"/>
  <c r="W183" i="7"/>
  <c r="U183" i="7"/>
  <c r="S183" i="7"/>
  <c r="Q183" i="7"/>
  <c r="O183" i="7"/>
  <c r="M183" i="7"/>
  <c r="K183" i="7"/>
  <c r="I183" i="7"/>
  <c r="AI182" i="7"/>
  <c r="AG182" i="7"/>
  <c r="AE182" i="7"/>
  <c r="AC182" i="7"/>
  <c r="AA182" i="7"/>
  <c r="Y182" i="7"/>
  <c r="W182" i="7"/>
  <c r="U182" i="7"/>
  <c r="S182" i="7"/>
  <c r="Q182" i="7"/>
  <c r="O182" i="7"/>
  <c r="M182" i="7"/>
  <c r="K182" i="7"/>
  <c r="I182" i="7"/>
  <c r="AI181" i="7"/>
  <c r="AG181" i="7"/>
  <c r="AE181" i="7"/>
  <c r="AC181" i="7"/>
  <c r="AA181" i="7"/>
  <c r="Y181" i="7"/>
  <c r="W181" i="7"/>
  <c r="U181" i="7"/>
  <c r="S181" i="7"/>
  <c r="Q181" i="7"/>
  <c r="O181" i="7"/>
  <c r="M181" i="7"/>
  <c r="K181" i="7"/>
  <c r="I181" i="7"/>
  <c r="AI180" i="7"/>
  <c r="AG180" i="7"/>
  <c r="AE180" i="7"/>
  <c r="AC180" i="7"/>
  <c r="AA180" i="7"/>
  <c r="Y180" i="7"/>
  <c r="W180" i="7"/>
  <c r="U180" i="7"/>
  <c r="S180" i="7"/>
  <c r="Q180" i="7"/>
  <c r="O180" i="7"/>
  <c r="M180" i="7"/>
  <c r="K180" i="7"/>
  <c r="I180" i="7"/>
  <c r="AI179" i="7"/>
  <c r="AG179" i="7"/>
  <c r="AE179" i="7"/>
  <c r="AC179" i="7"/>
  <c r="AA179" i="7"/>
  <c r="Y179" i="7"/>
  <c r="W179" i="7"/>
  <c r="U179" i="7"/>
  <c r="S179" i="7"/>
  <c r="Q179" i="7"/>
  <c r="O179" i="7"/>
  <c r="M179" i="7"/>
  <c r="K179" i="7"/>
  <c r="I179" i="7"/>
  <c r="AI178" i="7"/>
  <c r="AG178" i="7"/>
  <c r="AE178" i="7"/>
  <c r="AC178" i="7"/>
  <c r="AA178" i="7"/>
  <c r="Y178" i="7"/>
  <c r="W178" i="7"/>
  <c r="U178" i="7"/>
  <c r="S178" i="7"/>
  <c r="Q178" i="7"/>
  <c r="O178" i="7"/>
  <c r="M178" i="7"/>
  <c r="K178" i="7"/>
  <c r="I178" i="7"/>
  <c r="AI177" i="7"/>
  <c r="AG177" i="7"/>
  <c r="AE177" i="7"/>
  <c r="AC177" i="7"/>
  <c r="AA177" i="7"/>
  <c r="Y177" i="7"/>
  <c r="W177" i="7"/>
  <c r="U177" i="7"/>
  <c r="S177" i="7"/>
  <c r="Q177" i="7"/>
  <c r="O177" i="7"/>
  <c r="M177" i="7"/>
  <c r="K177" i="7"/>
  <c r="I177" i="7"/>
  <c r="AI176" i="7"/>
  <c r="AG176" i="7"/>
  <c r="AE176" i="7"/>
  <c r="AC176" i="7"/>
  <c r="AA176" i="7"/>
  <c r="Y176" i="7"/>
  <c r="W176" i="7"/>
  <c r="U176" i="7"/>
  <c r="S176" i="7"/>
  <c r="Q176" i="7"/>
  <c r="O176" i="7"/>
  <c r="M176" i="7"/>
  <c r="K176" i="7"/>
  <c r="I176" i="7"/>
  <c r="AI175" i="7"/>
  <c r="AG175" i="7"/>
  <c r="AE175" i="7"/>
  <c r="AC175" i="7"/>
  <c r="AA175" i="7"/>
  <c r="Y175" i="7"/>
  <c r="W175" i="7"/>
  <c r="U175" i="7"/>
  <c r="S175" i="7"/>
  <c r="Q175" i="7"/>
  <c r="O175" i="7"/>
  <c r="M175" i="7"/>
  <c r="K175" i="7"/>
  <c r="I175" i="7"/>
  <c r="AI174" i="7"/>
  <c r="AG174" i="7"/>
  <c r="AE174" i="7"/>
  <c r="AC174" i="7"/>
  <c r="AA174" i="7"/>
  <c r="Y174" i="7"/>
  <c r="W174" i="7"/>
  <c r="U174" i="7"/>
  <c r="S174" i="7"/>
  <c r="Q174" i="7"/>
  <c r="O174" i="7"/>
  <c r="M174" i="7"/>
  <c r="K174" i="7"/>
  <c r="I174" i="7"/>
  <c r="AI173" i="7"/>
  <c r="AG173" i="7"/>
  <c r="AE173" i="7"/>
  <c r="AC173" i="7"/>
  <c r="AA173" i="7"/>
  <c r="Y173" i="7"/>
  <c r="W173" i="7"/>
  <c r="U173" i="7"/>
  <c r="S173" i="7"/>
  <c r="Q173" i="7"/>
  <c r="O173" i="7"/>
  <c r="M173" i="7"/>
  <c r="K173" i="7"/>
  <c r="I173" i="7"/>
  <c r="AI172" i="7"/>
  <c r="AG172" i="7"/>
  <c r="AE172" i="7"/>
  <c r="AC172" i="7"/>
  <c r="AA172" i="7"/>
  <c r="Y172" i="7"/>
  <c r="W172" i="7"/>
  <c r="U172" i="7"/>
  <c r="S172" i="7"/>
  <c r="Q172" i="7"/>
  <c r="O172" i="7"/>
  <c r="M172" i="7"/>
  <c r="K172" i="7"/>
  <c r="I172" i="7"/>
  <c r="AI171" i="7"/>
  <c r="AG171" i="7"/>
  <c r="AE171" i="7"/>
  <c r="AC171" i="7"/>
  <c r="AA171" i="7"/>
  <c r="Y171" i="7"/>
  <c r="W171" i="7"/>
  <c r="U171" i="7"/>
  <c r="S171" i="7"/>
  <c r="Q171" i="7"/>
  <c r="O171" i="7"/>
  <c r="M171" i="7"/>
  <c r="K171" i="7"/>
  <c r="I171" i="7"/>
  <c r="AI170" i="7"/>
  <c r="AG170" i="7"/>
  <c r="AE170" i="7"/>
  <c r="AC170" i="7"/>
  <c r="AA170" i="7"/>
  <c r="Y170" i="7"/>
  <c r="W170" i="7"/>
  <c r="U170" i="7"/>
  <c r="S170" i="7"/>
  <c r="Q170" i="7"/>
  <c r="O170" i="7"/>
  <c r="M170" i="7"/>
  <c r="K170" i="7"/>
  <c r="I170" i="7"/>
  <c r="AI169" i="7"/>
  <c r="AG169" i="7"/>
  <c r="AE169" i="7"/>
  <c r="AC169" i="7"/>
  <c r="AA169" i="7"/>
  <c r="Y169" i="7"/>
  <c r="W169" i="7"/>
  <c r="U169" i="7"/>
  <c r="S169" i="7"/>
  <c r="Q169" i="7"/>
  <c r="O169" i="7"/>
  <c r="M169" i="7"/>
  <c r="K169" i="7"/>
  <c r="I169" i="7"/>
  <c r="AI168" i="7"/>
  <c r="AG168" i="7"/>
  <c r="AE168" i="7"/>
  <c r="AC168" i="7"/>
  <c r="AA168" i="7"/>
  <c r="Y168" i="7"/>
  <c r="W168" i="7"/>
  <c r="U168" i="7"/>
  <c r="S168" i="7"/>
  <c r="Q168" i="7"/>
  <c r="O168" i="7"/>
  <c r="M168" i="7"/>
  <c r="K168" i="7"/>
  <c r="I168" i="7"/>
  <c r="AI167" i="7"/>
  <c r="AG167" i="7"/>
  <c r="AE167" i="7"/>
  <c r="AC167" i="7"/>
  <c r="AA167" i="7"/>
  <c r="Y167" i="7"/>
  <c r="W167" i="7"/>
  <c r="U167" i="7"/>
  <c r="S167" i="7"/>
  <c r="Q167" i="7"/>
  <c r="O167" i="7"/>
  <c r="M167" i="7"/>
  <c r="K167" i="7"/>
  <c r="I167" i="7"/>
  <c r="AI166" i="7"/>
  <c r="AG166" i="7"/>
  <c r="AE166" i="7"/>
  <c r="AC166" i="7"/>
  <c r="AA166" i="7"/>
  <c r="Y166" i="7"/>
  <c r="W166" i="7"/>
  <c r="U166" i="7"/>
  <c r="S166" i="7"/>
  <c r="Q166" i="7"/>
  <c r="O166" i="7"/>
  <c r="M166" i="7"/>
  <c r="K166" i="7"/>
  <c r="I166" i="7"/>
  <c r="AI165" i="7"/>
  <c r="AG165" i="7"/>
  <c r="AE165" i="7"/>
  <c r="AC165" i="7"/>
  <c r="AA165" i="7"/>
  <c r="Y165" i="7"/>
  <c r="W165" i="7"/>
  <c r="U165" i="7"/>
  <c r="S165" i="7"/>
  <c r="Q165" i="7"/>
  <c r="O165" i="7"/>
  <c r="M165" i="7"/>
  <c r="K165" i="7"/>
  <c r="I165" i="7"/>
  <c r="AI164" i="7"/>
  <c r="AG164" i="7"/>
  <c r="AE164" i="7"/>
  <c r="AC164" i="7"/>
  <c r="AA164" i="7"/>
  <c r="Y164" i="7"/>
  <c r="W164" i="7"/>
  <c r="U164" i="7"/>
  <c r="S164" i="7"/>
  <c r="Q164" i="7"/>
  <c r="O164" i="7"/>
  <c r="M164" i="7"/>
  <c r="K164" i="7"/>
  <c r="I164" i="7"/>
  <c r="AI163" i="7"/>
  <c r="AG163" i="7"/>
  <c r="AE163" i="7"/>
  <c r="AC163" i="7"/>
  <c r="AA163" i="7"/>
  <c r="Y163" i="7"/>
  <c r="W163" i="7"/>
  <c r="U163" i="7"/>
  <c r="S163" i="7"/>
  <c r="Q163" i="7"/>
  <c r="O163" i="7"/>
  <c r="M163" i="7"/>
  <c r="K163" i="7"/>
  <c r="I163" i="7"/>
  <c r="AI162" i="7"/>
  <c r="AG162" i="7"/>
  <c r="AE162" i="7"/>
  <c r="AC162" i="7"/>
  <c r="AA162" i="7"/>
  <c r="Y162" i="7"/>
  <c r="W162" i="7"/>
  <c r="U162" i="7"/>
  <c r="S162" i="7"/>
  <c r="Q162" i="7"/>
  <c r="O162" i="7"/>
  <c r="M162" i="7"/>
  <c r="K162" i="7"/>
  <c r="I162" i="7"/>
  <c r="AI161" i="7"/>
  <c r="AG161" i="7"/>
  <c r="AE161" i="7"/>
  <c r="AC161" i="7"/>
  <c r="AA161" i="7"/>
  <c r="Y161" i="7"/>
  <c r="W161" i="7"/>
  <c r="U161" i="7"/>
  <c r="S161" i="7"/>
  <c r="Q161" i="7"/>
  <c r="O161" i="7"/>
  <c r="M161" i="7"/>
  <c r="K161" i="7"/>
  <c r="I161" i="7"/>
  <c r="AI160" i="7"/>
  <c r="AG160" i="7"/>
  <c r="AE160" i="7"/>
  <c r="AC160" i="7"/>
  <c r="AA160" i="7"/>
  <c r="Y160" i="7"/>
  <c r="W160" i="7"/>
  <c r="U160" i="7"/>
  <c r="S160" i="7"/>
  <c r="Q160" i="7"/>
  <c r="O160" i="7"/>
  <c r="M160" i="7"/>
  <c r="K160" i="7"/>
  <c r="I160" i="7"/>
  <c r="AI159" i="7"/>
  <c r="AG159" i="7"/>
  <c r="AE159" i="7"/>
  <c r="AC159" i="7"/>
  <c r="AA159" i="7"/>
  <c r="Y159" i="7"/>
  <c r="W159" i="7"/>
  <c r="U159" i="7"/>
  <c r="S159" i="7"/>
  <c r="Q159" i="7"/>
  <c r="O159" i="7"/>
  <c r="M159" i="7"/>
  <c r="K159" i="7"/>
  <c r="I159" i="7"/>
  <c r="AI158" i="7"/>
  <c r="AG158" i="7"/>
  <c r="AE158" i="7"/>
  <c r="AC158" i="7"/>
  <c r="AA158" i="7"/>
  <c r="Y158" i="7"/>
  <c r="W158" i="7"/>
  <c r="U158" i="7"/>
  <c r="S158" i="7"/>
  <c r="Q158" i="7"/>
  <c r="O158" i="7"/>
  <c r="M158" i="7"/>
  <c r="K158" i="7"/>
  <c r="I158" i="7"/>
  <c r="AI157" i="7"/>
  <c r="AG157" i="7"/>
  <c r="AE157" i="7"/>
  <c r="AC157" i="7"/>
  <c r="AA157" i="7"/>
  <c r="Y157" i="7"/>
  <c r="W157" i="7"/>
  <c r="U157" i="7"/>
  <c r="S157" i="7"/>
  <c r="Q157" i="7"/>
  <c r="O157" i="7"/>
  <c r="M157" i="7"/>
  <c r="K157" i="7"/>
  <c r="I157" i="7"/>
  <c r="AI156" i="7"/>
  <c r="AG156" i="7"/>
  <c r="AE156" i="7"/>
  <c r="AC156" i="7"/>
  <c r="AA156" i="7"/>
  <c r="Y156" i="7"/>
  <c r="W156" i="7"/>
  <c r="U156" i="7"/>
  <c r="S156" i="7"/>
  <c r="Q156" i="7"/>
  <c r="O156" i="7"/>
  <c r="M156" i="7"/>
  <c r="K156" i="7"/>
  <c r="I156" i="7"/>
  <c r="AI155" i="7"/>
  <c r="AG155" i="7"/>
  <c r="AE155" i="7"/>
  <c r="AC155" i="7"/>
  <c r="AA155" i="7"/>
  <c r="Y155" i="7"/>
  <c r="W155" i="7"/>
  <c r="U155" i="7"/>
  <c r="S155" i="7"/>
  <c r="Q155" i="7"/>
  <c r="O155" i="7"/>
  <c r="M155" i="7"/>
  <c r="K155" i="7"/>
  <c r="I155" i="7"/>
  <c r="AI154" i="7"/>
  <c r="AG154" i="7"/>
  <c r="AE154" i="7"/>
  <c r="AC154" i="7"/>
  <c r="AA154" i="7"/>
  <c r="Y154" i="7"/>
  <c r="W154" i="7"/>
  <c r="U154" i="7"/>
  <c r="S154" i="7"/>
  <c r="Q154" i="7"/>
  <c r="O154" i="7"/>
  <c r="M154" i="7"/>
  <c r="K154" i="7"/>
  <c r="I154" i="7"/>
  <c r="AI153" i="7"/>
  <c r="AG153" i="7"/>
  <c r="AE153" i="7"/>
  <c r="AC153" i="7"/>
  <c r="AA153" i="7"/>
  <c r="Y153" i="7"/>
  <c r="W153" i="7"/>
  <c r="U153" i="7"/>
  <c r="S153" i="7"/>
  <c r="Q153" i="7"/>
  <c r="O153" i="7"/>
  <c r="M153" i="7"/>
  <c r="K153" i="7"/>
  <c r="I153" i="7"/>
  <c r="AI152" i="7"/>
  <c r="AG152" i="7"/>
  <c r="AE152" i="7"/>
  <c r="AC152" i="7"/>
  <c r="AA152" i="7"/>
  <c r="Y152" i="7"/>
  <c r="W152" i="7"/>
  <c r="U152" i="7"/>
  <c r="S152" i="7"/>
  <c r="Q152" i="7"/>
  <c r="O152" i="7"/>
  <c r="M152" i="7"/>
  <c r="K152" i="7"/>
  <c r="I152" i="7"/>
  <c r="AI151" i="7"/>
  <c r="AG151" i="7"/>
  <c r="AE151" i="7"/>
  <c r="AC151" i="7"/>
  <c r="AA151" i="7"/>
  <c r="Y151" i="7"/>
  <c r="W151" i="7"/>
  <c r="U151" i="7"/>
  <c r="S151" i="7"/>
  <c r="Q151" i="7"/>
  <c r="O151" i="7"/>
  <c r="M151" i="7"/>
  <c r="K151" i="7"/>
  <c r="I151" i="7"/>
  <c r="AI150" i="7"/>
  <c r="AG150" i="7"/>
  <c r="AE150" i="7"/>
  <c r="AC150" i="7"/>
  <c r="AA150" i="7"/>
  <c r="Y150" i="7"/>
  <c r="W150" i="7"/>
  <c r="U150" i="7"/>
  <c r="S150" i="7"/>
  <c r="Q150" i="7"/>
  <c r="O150" i="7"/>
  <c r="M150" i="7"/>
  <c r="K150" i="7"/>
  <c r="I150" i="7"/>
  <c r="AI149" i="7"/>
  <c r="AG149" i="7"/>
  <c r="AE149" i="7"/>
  <c r="AC149" i="7"/>
  <c r="AA149" i="7"/>
  <c r="Y149" i="7"/>
  <c r="W149" i="7"/>
  <c r="U149" i="7"/>
  <c r="S149" i="7"/>
  <c r="Q149" i="7"/>
  <c r="O149" i="7"/>
  <c r="M149" i="7"/>
  <c r="K149" i="7"/>
  <c r="I149" i="7"/>
  <c r="AI246" i="7"/>
  <c r="AG246" i="7"/>
  <c r="AE246" i="7"/>
  <c r="AC246" i="7"/>
  <c r="AA246" i="7"/>
  <c r="Y246" i="7"/>
  <c r="W246" i="7"/>
  <c r="U246" i="7"/>
  <c r="S246" i="7"/>
  <c r="Q246" i="7"/>
  <c r="O246" i="7"/>
  <c r="M246" i="7"/>
  <c r="K246" i="7"/>
  <c r="I246" i="7"/>
  <c r="AI245" i="7"/>
  <c r="AG245" i="7"/>
  <c r="AE245" i="7"/>
  <c r="AC245" i="7"/>
  <c r="AA245" i="7"/>
  <c r="Y245" i="7"/>
  <c r="W245" i="7"/>
  <c r="U245" i="7"/>
  <c r="S245" i="7"/>
  <c r="Q245" i="7"/>
  <c r="O245" i="7"/>
  <c r="M245" i="7"/>
  <c r="K245" i="7"/>
  <c r="I245" i="7"/>
  <c r="AI244" i="7"/>
  <c r="AG244" i="7"/>
  <c r="AE244" i="7"/>
  <c r="AC244" i="7"/>
  <c r="AA244" i="7"/>
  <c r="Y244" i="7"/>
  <c r="W244" i="7"/>
  <c r="U244" i="7"/>
  <c r="S244" i="7"/>
  <c r="Q244" i="7"/>
  <c r="O244" i="7"/>
  <c r="M244" i="7"/>
  <c r="K244" i="7"/>
  <c r="I244" i="7"/>
  <c r="AI243" i="7"/>
  <c r="AG243" i="7"/>
  <c r="AE243" i="7"/>
  <c r="AC243" i="7"/>
  <c r="AA243" i="7"/>
  <c r="Y243" i="7"/>
  <c r="W243" i="7"/>
  <c r="U243" i="7"/>
  <c r="S243" i="7"/>
  <c r="Q243" i="7"/>
  <c r="O243" i="7"/>
  <c r="M243" i="7"/>
  <c r="K243" i="7"/>
  <c r="I243" i="7"/>
  <c r="AI242" i="7"/>
  <c r="AG242" i="7"/>
  <c r="AE242" i="7"/>
  <c r="AC242" i="7"/>
  <c r="AA242" i="7"/>
  <c r="Y242" i="7"/>
  <c r="W242" i="7"/>
  <c r="U242" i="7"/>
  <c r="S242" i="7"/>
  <c r="Q242" i="7"/>
  <c r="O242" i="7"/>
  <c r="M242" i="7"/>
  <c r="K242" i="7"/>
  <c r="I242" i="7"/>
  <c r="AI241" i="7"/>
  <c r="AG241" i="7"/>
  <c r="AE241" i="7"/>
  <c r="AC241" i="7"/>
  <c r="AA241" i="7"/>
  <c r="Y241" i="7"/>
  <c r="W241" i="7"/>
  <c r="U241" i="7"/>
  <c r="S241" i="7"/>
  <c r="Q241" i="7"/>
  <c r="O241" i="7"/>
  <c r="M241" i="7"/>
  <c r="K241" i="7"/>
  <c r="I241" i="7"/>
  <c r="AI240" i="7"/>
  <c r="AG240" i="7"/>
  <c r="AE240" i="7"/>
  <c r="AC240" i="7"/>
  <c r="AA240" i="7"/>
  <c r="Y240" i="7"/>
  <c r="W240" i="7"/>
  <c r="U240" i="7"/>
  <c r="S240" i="7"/>
  <c r="Q240" i="7"/>
  <c r="O240" i="7"/>
  <c r="M240" i="7"/>
  <c r="K240" i="7"/>
  <c r="I240" i="7"/>
  <c r="AI239" i="7"/>
  <c r="AG239" i="7"/>
  <c r="AE239" i="7"/>
  <c r="AC239" i="7"/>
  <c r="AA239" i="7"/>
  <c r="Y239" i="7"/>
  <c r="W239" i="7"/>
  <c r="U239" i="7"/>
  <c r="S239" i="7"/>
  <c r="Q239" i="7"/>
  <c r="O239" i="7"/>
  <c r="M239" i="7"/>
  <c r="K239" i="7"/>
  <c r="I239" i="7"/>
  <c r="AI238" i="7"/>
  <c r="AG238" i="7"/>
  <c r="AE238" i="7"/>
  <c r="AC238" i="7"/>
  <c r="AA238" i="7"/>
  <c r="Y238" i="7"/>
  <c r="W238" i="7"/>
  <c r="U238" i="7"/>
  <c r="S238" i="7"/>
  <c r="Q238" i="7"/>
  <c r="O238" i="7"/>
  <c r="M238" i="7"/>
  <c r="K238" i="7"/>
  <c r="I238" i="7"/>
  <c r="AI237" i="7"/>
  <c r="AG237" i="7"/>
  <c r="AE237" i="7"/>
  <c r="AC237" i="7"/>
  <c r="AA237" i="7"/>
  <c r="Y237" i="7"/>
  <c r="W237" i="7"/>
  <c r="U237" i="7"/>
  <c r="S237" i="7"/>
  <c r="Q237" i="7"/>
  <c r="O237" i="7"/>
  <c r="M237" i="7"/>
  <c r="K237" i="7"/>
  <c r="I237" i="7"/>
  <c r="AI236" i="7"/>
  <c r="AG236" i="7"/>
  <c r="AE236" i="7"/>
  <c r="AC236" i="7"/>
  <c r="AA236" i="7"/>
  <c r="Y236" i="7"/>
  <c r="W236" i="7"/>
  <c r="U236" i="7"/>
  <c r="S236" i="7"/>
  <c r="Q236" i="7"/>
  <c r="O236" i="7"/>
  <c r="M236" i="7"/>
  <c r="K236" i="7"/>
  <c r="I236" i="7"/>
  <c r="AI235" i="7"/>
  <c r="AG235" i="7"/>
  <c r="AE235" i="7"/>
  <c r="AC235" i="7"/>
  <c r="AA235" i="7"/>
  <c r="Y235" i="7"/>
  <c r="W235" i="7"/>
  <c r="U235" i="7"/>
  <c r="S235" i="7"/>
  <c r="Q235" i="7"/>
  <c r="O235" i="7"/>
  <c r="M235" i="7"/>
  <c r="K235" i="7"/>
  <c r="I235" i="7"/>
  <c r="AI234" i="7"/>
  <c r="AG234" i="7"/>
  <c r="AE234" i="7"/>
  <c r="AC234" i="7"/>
  <c r="AA234" i="7"/>
  <c r="Y234" i="7"/>
  <c r="W234" i="7"/>
  <c r="U234" i="7"/>
  <c r="S234" i="7"/>
  <c r="Q234" i="7"/>
  <c r="O234" i="7"/>
  <c r="M234" i="7"/>
  <c r="K234" i="7"/>
  <c r="I234" i="7"/>
  <c r="AI233" i="7"/>
  <c r="AG233" i="7"/>
  <c r="AE233" i="7"/>
  <c r="AC233" i="7"/>
  <c r="AA233" i="7"/>
  <c r="Y233" i="7"/>
  <c r="W233" i="7"/>
  <c r="U233" i="7"/>
  <c r="S233" i="7"/>
  <c r="Q233" i="7"/>
  <c r="O233" i="7"/>
  <c r="M233" i="7"/>
  <c r="K233" i="7"/>
  <c r="I233" i="7"/>
  <c r="AI232" i="7"/>
  <c r="AG232" i="7"/>
  <c r="AE232" i="7"/>
  <c r="AC232" i="7"/>
  <c r="AA232" i="7"/>
  <c r="Y232" i="7"/>
  <c r="W232" i="7"/>
  <c r="U232" i="7"/>
  <c r="S232" i="7"/>
  <c r="Q232" i="7"/>
  <c r="O232" i="7"/>
  <c r="M232" i="7"/>
  <c r="K232" i="7"/>
  <c r="I232" i="7"/>
  <c r="AI231" i="7"/>
  <c r="AG231" i="7"/>
  <c r="AE231" i="7"/>
  <c r="AC231" i="7"/>
  <c r="AA231" i="7"/>
  <c r="Y231" i="7"/>
  <c r="W231" i="7"/>
  <c r="U231" i="7"/>
  <c r="S231" i="7"/>
  <c r="Q231" i="7"/>
  <c r="O231" i="7"/>
  <c r="M231" i="7"/>
  <c r="K231" i="7"/>
  <c r="I231" i="7"/>
  <c r="AI230" i="7"/>
  <c r="AG230" i="7"/>
  <c r="AE230" i="7"/>
  <c r="AC230" i="7"/>
  <c r="AA230" i="7"/>
  <c r="Y230" i="7"/>
  <c r="W230" i="7"/>
  <c r="U230" i="7"/>
  <c r="S230" i="7"/>
  <c r="Q230" i="7"/>
  <c r="O230" i="7"/>
  <c r="M230" i="7"/>
  <c r="K230" i="7"/>
  <c r="I230" i="7"/>
  <c r="AI229" i="7"/>
  <c r="AG229" i="7"/>
  <c r="AE229" i="7"/>
  <c r="AC229" i="7"/>
  <c r="AA229" i="7"/>
  <c r="Y229" i="7"/>
  <c r="W229" i="7"/>
  <c r="U229" i="7"/>
  <c r="S229" i="7"/>
  <c r="Q229" i="7"/>
  <c r="O229" i="7"/>
  <c r="M229" i="7"/>
  <c r="K229" i="7"/>
  <c r="I229" i="7"/>
  <c r="AI228" i="7"/>
  <c r="AG228" i="7"/>
  <c r="AE228" i="7"/>
  <c r="AC228" i="7"/>
  <c r="AA228" i="7"/>
  <c r="Y228" i="7"/>
  <c r="W228" i="7"/>
  <c r="U228" i="7"/>
  <c r="S228" i="7"/>
  <c r="Q228" i="7"/>
  <c r="O228" i="7"/>
  <c r="M228" i="7"/>
  <c r="K228" i="7"/>
  <c r="I228" i="7"/>
  <c r="AI227" i="7"/>
  <c r="AG227" i="7"/>
  <c r="AE227" i="7"/>
  <c r="AC227" i="7"/>
  <c r="AA227" i="7"/>
  <c r="Y227" i="7"/>
  <c r="W227" i="7"/>
  <c r="U227" i="7"/>
  <c r="S227" i="7"/>
  <c r="Q227" i="7"/>
  <c r="O227" i="7"/>
  <c r="M227" i="7"/>
  <c r="K227" i="7"/>
  <c r="I227" i="7"/>
  <c r="AI226" i="7"/>
  <c r="AG226" i="7"/>
  <c r="AE226" i="7"/>
  <c r="AC226" i="7"/>
  <c r="AA226" i="7"/>
  <c r="Y226" i="7"/>
  <c r="W226" i="7"/>
  <c r="U226" i="7"/>
  <c r="S226" i="7"/>
  <c r="Q226" i="7"/>
  <c r="O226" i="7"/>
  <c r="M226" i="7"/>
  <c r="K226" i="7"/>
  <c r="I226" i="7"/>
  <c r="AI225" i="7"/>
  <c r="AG225" i="7"/>
  <c r="AE225" i="7"/>
  <c r="AC225" i="7"/>
  <c r="AA225" i="7"/>
  <c r="Y225" i="7"/>
  <c r="W225" i="7"/>
  <c r="U225" i="7"/>
  <c r="S225" i="7"/>
  <c r="Q225" i="7"/>
  <c r="O225" i="7"/>
  <c r="M225" i="7"/>
  <c r="K225" i="7"/>
  <c r="I225" i="7"/>
  <c r="AI224" i="7"/>
  <c r="AG224" i="7"/>
  <c r="AE224" i="7"/>
  <c r="AC224" i="7"/>
  <c r="AA224" i="7"/>
  <c r="Y224" i="7"/>
  <c r="W224" i="7"/>
  <c r="U224" i="7"/>
  <c r="S224" i="7"/>
  <c r="Q224" i="7"/>
  <c r="O224" i="7"/>
  <c r="M224" i="7"/>
  <c r="K224" i="7"/>
  <c r="I224" i="7"/>
  <c r="AI223" i="7"/>
  <c r="AG223" i="7"/>
  <c r="AE223" i="7"/>
  <c r="AC223" i="7"/>
  <c r="AA223" i="7"/>
  <c r="Y223" i="7"/>
  <c r="W223" i="7"/>
  <c r="U223" i="7"/>
  <c r="S223" i="7"/>
  <c r="Q223" i="7"/>
  <c r="O223" i="7"/>
  <c r="M223" i="7"/>
  <c r="K223" i="7"/>
  <c r="I223" i="7"/>
  <c r="AI222" i="7"/>
  <c r="AG222" i="7"/>
  <c r="AE222" i="7"/>
  <c r="AC222" i="7"/>
  <c r="AA222" i="7"/>
  <c r="Y222" i="7"/>
  <c r="W222" i="7"/>
  <c r="U222" i="7"/>
  <c r="S222" i="7"/>
  <c r="Q222" i="7"/>
  <c r="O222" i="7"/>
  <c r="M222" i="7"/>
  <c r="K222" i="7"/>
  <c r="I222" i="7"/>
  <c r="AI221" i="7"/>
  <c r="AG221" i="7"/>
  <c r="AE221" i="7"/>
  <c r="AC221" i="7"/>
  <c r="AA221" i="7"/>
  <c r="Y221" i="7"/>
  <c r="W221" i="7"/>
  <c r="U221" i="7"/>
  <c r="S221" i="7"/>
  <c r="Q221" i="7"/>
  <c r="O221" i="7"/>
  <c r="M221" i="7"/>
  <c r="K221" i="7"/>
  <c r="I221" i="7"/>
  <c r="AI220" i="7"/>
  <c r="AG220" i="7"/>
  <c r="AE220" i="7"/>
  <c r="AC220" i="7"/>
  <c r="AA220" i="7"/>
  <c r="Y220" i="7"/>
  <c r="W220" i="7"/>
  <c r="U220" i="7"/>
  <c r="S220" i="7"/>
  <c r="Q220" i="7"/>
  <c r="O220" i="7"/>
  <c r="M220" i="7"/>
  <c r="K220" i="7"/>
  <c r="I220" i="7"/>
  <c r="AI219" i="7"/>
  <c r="AG219" i="7"/>
  <c r="AE219" i="7"/>
  <c r="AC219" i="7"/>
  <c r="AA219" i="7"/>
  <c r="Y219" i="7"/>
  <c r="W219" i="7"/>
  <c r="U219" i="7"/>
  <c r="S219" i="7"/>
  <c r="Q219" i="7"/>
  <c r="O219" i="7"/>
  <c r="M219" i="7"/>
  <c r="K219" i="7"/>
  <c r="I219" i="7"/>
  <c r="AI218" i="7"/>
  <c r="AG218" i="7"/>
  <c r="AE218" i="7"/>
  <c r="AC218" i="7"/>
  <c r="AA218" i="7"/>
  <c r="Y218" i="7"/>
  <c r="W218" i="7"/>
  <c r="U218" i="7"/>
  <c r="S218" i="7"/>
  <c r="Q218" i="7"/>
  <c r="O218" i="7"/>
  <c r="M218" i="7"/>
  <c r="K218" i="7"/>
  <c r="I218" i="7"/>
  <c r="AI217" i="7"/>
  <c r="AG217" i="7"/>
  <c r="AE217" i="7"/>
  <c r="AC217" i="7"/>
  <c r="AA217" i="7"/>
  <c r="Y217" i="7"/>
  <c r="W217" i="7"/>
  <c r="U217" i="7"/>
  <c r="S217" i="7"/>
  <c r="Q217" i="7"/>
  <c r="O217" i="7"/>
  <c r="M217" i="7"/>
  <c r="K217" i="7"/>
  <c r="I217" i="7"/>
  <c r="AI216" i="7"/>
  <c r="AG216" i="7"/>
  <c r="AE216" i="7"/>
  <c r="AC216" i="7"/>
  <c r="AA216" i="7"/>
  <c r="Y216" i="7"/>
  <c r="W216" i="7"/>
  <c r="U216" i="7"/>
  <c r="S216" i="7"/>
  <c r="Q216" i="7"/>
  <c r="O216" i="7"/>
  <c r="M216" i="7"/>
  <c r="K216" i="7"/>
  <c r="I216" i="7"/>
  <c r="AI215" i="7"/>
  <c r="AG215" i="7"/>
  <c r="AE215" i="7"/>
  <c r="AC215" i="7"/>
  <c r="AA215" i="7"/>
  <c r="Y215" i="7"/>
  <c r="W215" i="7"/>
  <c r="U215" i="7"/>
  <c r="S215" i="7"/>
  <c r="Q215" i="7"/>
  <c r="O215" i="7"/>
  <c r="M215" i="7"/>
  <c r="K215" i="7"/>
  <c r="I215" i="7"/>
  <c r="AI214" i="7"/>
  <c r="AG214" i="7"/>
  <c r="AE214" i="7"/>
  <c r="AC214" i="7"/>
  <c r="AA214" i="7"/>
  <c r="Y214" i="7"/>
  <c r="W214" i="7"/>
  <c r="U214" i="7"/>
  <c r="S214" i="7"/>
  <c r="Q214" i="7"/>
  <c r="O214" i="7"/>
  <c r="M214" i="7"/>
  <c r="K214" i="7"/>
  <c r="I214" i="7"/>
  <c r="AI213" i="7"/>
  <c r="AG213" i="7"/>
  <c r="AE213" i="7"/>
  <c r="AC213" i="7"/>
  <c r="AA213" i="7"/>
  <c r="Y213" i="7"/>
  <c r="W213" i="7"/>
  <c r="U213" i="7"/>
  <c r="S213" i="7"/>
  <c r="Q213" i="7"/>
  <c r="O213" i="7"/>
  <c r="M213" i="7"/>
  <c r="K213" i="7"/>
  <c r="I213" i="7"/>
  <c r="AI212" i="7"/>
  <c r="AG212" i="7"/>
  <c r="AE212" i="7"/>
  <c r="AC212" i="7"/>
  <c r="AA212" i="7"/>
  <c r="Y212" i="7"/>
  <c r="W212" i="7"/>
  <c r="U212" i="7"/>
  <c r="S212" i="7"/>
  <c r="Q212" i="7"/>
  <c r="O212" i="7"/>
  <c r="M212" i="7"/>
  <c r="K212" i="7"/>
  <c r="I212" i="7"/>
  <c r="AI211" i="7"/>
  <c r="AG211" i="7"/>
  <c r="AE211" i="7"/>
  <c r="AC211" i="7"/>
  <c r="AA211" i="7"/>
  <c r="Y211" i="7"/>
  <c r="W211" i="7"/>
  <c r="U211" i="7"/>
  <c r="S211" i="7"/>
  <c r="Q211" i="7"/>
  <c r="O211" i="7"/>
  <c r="M211" i="7"/>
  <c r="K211" i="7"/>
  <c r="I211" i="7"/>
  <c r="AI210" i="7"/>
  <c r="AG210" i="7"/>
  <c r="AE210" i="7"/>
  <c r="AC210" i="7"/>
  <c r="AA210" i="7"/>
  <c r="Y210" i="7"/>
  <c r="W210" i="7"/>
  <c r="U210" i="7"/>
  <c r="S210" i="7"/>
  <c r="Q210" i="7"/>
  <c r="O210" i="7"/>
  <c r="M210" i="7"/>
  <c r="K210" i="7"/>
  <c r="I210" i="7"/>
  <c r="AI209" i="7"/>
  <c r="AG209" i="7"/>
  <c r="AE209" i="7"/>
  <c r="AC209" i="7"/>
  <c r="AA209" i="7"/>
  <c r="Y209" i="7"/>
  <c r="W209" i="7"/>
  <c r="U209" i="7"/>
  <c r="S209" i="7"/>
  <c r="Q209" i="7"/>
  <c r="O209" i="7"/>
  <c r="M209" i="7"/>
  <c r="K209" i="7"/>
  <c r="I209" i="7"/>
  <c r="AI208" i="7"/>
  <c r="AG208" i="7"/>
  <c r="AE208" i="7"/>
  <c r="AC208" i="7"/>
  <c r="AA208" i="7"/>
  <c r="Y208" i="7"/>
  <c r="W208" i="7"/>
  <c r="U208" i="7"/>
  <c r="S208" i="7"/>
  <c r="Q208" i="7"/>
  <c r="O208" i="7"/>
  <c r="M208" i="7"/>
  <c r="K208" i="7"/>
  <c r="I208" i="7"/>
  <c r="AI207" i="7"/>
  <c r="AG207" i="7"/>
  <c r="AE207" i="7"/>
  <c r="AC207" i="7"/>
  <c r="AA207" i="7"/>
  <c r="Y207" i="7"/>
  <c r="W207" i="7"/>
  <c r="U207" i="7"/>
  <c r="S207" i="7"/>
  <c r="Q207" i="7"/>
  <c r="O207" i="7"/>
  <c r="M207" i="7"/>
  <c r="K207" i="7"/>
  <c r="I207" i="7"/>
  <c r="AI206" i="7"/>
  <c r="AG206" i="7"/>
  <c r="AE206" i="7"/>
  <c r="AC206" i="7"/>
  <c r="AA206" i="7"/>
  <c r="Y206" i="7"/>
  <c r="W206" i="7"/>
  <c r="U206" i="7"/>
  <c r="S206" i="7"/>
  <c r="Q206" i="7"/>
  <c r="O206" i="7"/>
  <c r="M206" i="7"/>
  <c r="K206" i="7"/>
  <c r="I206" i="7"/>
  <c r="AI205" i="7"/>
  <c r="AG205" i="7"/>
  <c r="AE205" i="7"/>
  <c r="AC205" i="7"/>
  <c r="AA205" i="7"/>
  <c r="Y205" i="7"/>
  <c r="W205" i="7"/>
  <c r="U205" i="7"/>
  <c r="S205" i="7"/>
  <c r="Q205" i="7"/>
  <c r="O205" i="7"/>
  <c r="M205" i="7"/>
  <c r="K205" i="7"/>
  <c r="I205" i="7"/>
  <c r="AI204" i="7"/>
  <c r="AG204" i="7"/>
  <c r="AE204" i="7"/>
  <c r="AC204" i="7"/>
  <c r="AA204" i="7"/>
  <c r="Y204" i="7"/>
  <c r="W204" i="7"/>
  <c r="U204" i="7"/>
  <c r="S204" i="7"/>
  <c r="Q204" i="7"/>
  <c r="O204" i="7"/>
  <c r="M204" i="7"/>
  <c r="K204" i="7"/>
  <c r="I204" i="7"/>
  <c r="AI203" i="7"/>
  <c r="AG203" i="7"/>
  <c r="AE203" i="7"/>
  <c r="AC203" i="7"/>
  <c r="AA203" i="7"/>
  <c r="Y203" i="7"/>
  <c r="W203" i="7"/>
  <c r="U203" i="7"/>
  <c r="S203" i="7"/>
  <c r="Q203" i="7"/>
  <c r="O203" i="7"/>
  <c r="M203" i="7"/>
  <c r="K203" i="7"/>
  <c r="I203" i="7"/>
  <c r="AI202" i="7"/>
  <c r="AG202" i="7"/>
  <c r="AE202" i="7"/>
  <c r="AC202" i="7"/>
  <c r="AA202" i="7"/>
  <c r="Y202" i="7"/>
  <c r="W202" i="7"/>
  <c r="U202" i="7"/>
  <c r="S202" i="7"/>
  <c r="Q202" i="7"/>
  <c r="O202" i="7"/>
  <c r="M202" i="7"/>
  <c r="K202" i="7"/>
  <c r="I202" i="7"/>
  <c r="AI201" i="7"/>
  <c r="AG201" i="7"/>
  <c r="AE201" i="7"/>
  <c r="AC201" i="7"/>
  <c r="AA201" i="7"/>
  <c r="Y201" i="7"/>
  <c r="W201" i="7"/>
  <c r="U201" i="7"/>
  <c r="S201" i="7"/>
  <c r="Q201" i="7"/>
  <c r="O201" i="7"/>
  <c r="M201" i="7"/>
  <c r="K201" i="7"/>
  <c r="I201" i="7"/>
  <c r="AI200" i="7"/>
  <c r="AG200" i="7"/>
  <c r="AE200" i="7"/>
  <c r="AC200" i="7"/>
  <c r="AA200" i="7"/>
  <c r="Y200" i="7"/>
  <c r="W200" i="7"/>
  <c r="U200" i="7"/>
  <c r="S200" i="7"/>
  <c r="Q200" i="7"/>
  <c r="O200" i="7"/>
  <c r="M200" i="7"/>
  <c r="K200" i="7"/>
  <c r="I200" i="7"/>
  <c r="AI199" i="7"/>
  <c r="AG199" i="7"/>
  <c r="AE199" i="7"/>
  <c r="AC199" i="7"/>
  <c r="AA199" i="7"/>
  <c r="Y199" i="7"/>
  <c r="W199" i="7"/>
  <c r="U199" i="7"/>
  <c r="S199" i="7"/>
  <c r="Q199" i="7"/>
  <c r="O199" i="7"/>
  <c r="M199" i="7"/>
  <c r="K199" i="7"/>
  <c r="I199" i="7"/>
  <c r="AI198" i="7"/>
  <c r="AG198" i="7"/>
  <c r="AE198" i="7"/>
  <c r="AC198" i="7"/>
  <c r="AA198" i="7"/>
  <c r="Y198" i="7"/>
  <c r="W198" i="7"/>
  <c r="U198" i="7"/>
  <c r="S198" i="7"/>
  <c r="Q198" i="7"/>
  <c r="O198" i="7"/>
  <c r="M198" i="7"/>
  <c r="K198" i="7"/>
  <c r="I198" i="7"/>
  <c r="AI148" i="7"/>
  <c r="AG148" i="7"/>
  <c r="AE148" i="7"/>
  <c r="AC148" i="7"/>
  <c r="AA148" i="7"/>
  <c r="Y148" i="7"/>
  <c r="W148" i="7"/>
  <c r="U148" i="7"/>
  <c r="S148" i="7"/>
  <c r="Q148" i="7"/>
  <c r="O148" i="7"/>
  <c r="M148" i="7"/>
  <c r="K148" i="7"/>
  <c r="I148" i="7"/>
  <c r="AI147" i="7"/>
  <c r="AG147" i="7"/>
  <c r="AE147" i="7"/>
  <c r="AC147" i="7"/>
  <c r="AA147" i="7"/>
  <c r="Y147" i="7"/>
  <c r="W147" i="7"/>
  <c r="U147" i="7"/>
  <c r="S147" i="7"/>
  <c r="Q147" i="7"/>
  <c r="O147" i="7"/>
  <c r="M147" i="7"/>
  <c r="K147" i="7"/>
  <c r="I147" i="7"/>
  <c r="AI146" i="7"/>
  <c r="AG146" i="7"/>
  <c r="AE146" i="7"/>
  <c r="AC146" i="7"/>
  <c r="AA146" i="7"/>
  <c r="Y146" i="7"/>
  <c r="W146" i="7"/>
  <c r="U146" i="7"/>
  <c r="S146" i="7"/>
  <c r="Q146" i="7"/>
  <c r="O146" i="7"/>
  <c r="M146" i="7"/>
  <c r="K146" i="7"/>
  <c r="I146" i="7"/>
  <c r="AI145" i="7"/>
  <c r="AG145" i="7"/>
  <c r="AE145" i="7"/>
  <c r="AC145" i="7"/>
  <c r="AA145" i="7"/>
  <c r="Y145" i="7"/>
  <c r="W145" i="7"/>
  <c r="U145" i="7"/>
  <c r="S145" i="7"/>
  <c r="Q145" i="7"/>
  <c r="O145" i="7"/>
  <c r="M145" i="7"/>
  <c r="K145" i="7"/>
  <c r="I145" i="7"/>
  <c r="AI144" i="7"/>
  <c r="AG144" i="7"/>
  <c r="AE144" i="7"/>
  <c r="AC144" i="7"/>
  <c r="AA144" i="7"/>
  <c r="Y144" i="7"/>
  <c r="W144" i="7"/>
  <c r="U144" i="7"/>
  <c r="S144" i="7"/>
  <c r="Q144" i="7"/>
  <c r="O144" i="7"/>
  <c r="M144" i="7"/>
  <c r="K144" i="7"/>
  <c r="I144" i="7"/>
  <c r="AI143" i="7"/>
  <c r="AG143" i="7"/>
  <c r="AE143" i="7"/>
  <c r="AC143" i="7"/>
  <c r="AA143" i="7"/>
  <c r="Y143" i="7"/>
  <c r="W143" i="7"/>
  <c r="U143" i="7"/>
  <c r="S143" i="7"/>
  <c r="Q143" i="7"/>
  <c r="O143" i="7"/>
  <c r="M143" i="7"/>
  <c r="K143" i="7"/>
  <c r="I143" i="7"/>
  <c r="AI142" i="7"/>
  <c r="AG142" i="7"/>
  <c r="AE142" i="7"/>
  <c r="AC142" i="7"/>
  <c r="AA142" i="7"/>
  <c r="Y142" i="7"/>
  <c r="W142" i="7"/>
  <c r="U142" i="7"/>
  <c r="S142" i="7"/>
  <c r="Q142" i="7"/>
  <c r="O142" i="7"/>
  <c r="M142" i="7"/>
  <c r="K142" i="7"/>
  <c r="I142" i="7"/>
  <c r="AI141" i="7"/>
  <c r="AG141" i="7"/>
  <c r="AE141" i="7"/>
  <c r="AC141" i="7"/>
  <c r="AA141" i="7"/>
  <c r="Y141" i="7"/>
  <c r="W141" i="7"/>
  <c r="U141" i="7"/>
  <c r="S141" i="7"/>
  <c r="Q141" i="7"/>
  <c r="O141" i="7"/>
  <c r="M141" i="7"/>
  <c r="K141" i="7"/>
  <c r="I141" i="7"/>
  <c r="AI140" i="7"/>
  <c r="AG140" i="7"/>
  <c r="AE140" i="7"/>
  <c r="AC140" i="7"/>
  <c r="AA140" i="7"/>
  <c r="Y140" i="7"/>
  <c r="W140" i="7"/>
  <c r="U140" i="7"/>
  <c r="S140" i="7"/>
  <c r="Q140" i="7"/>
  <c r="O140" i="7"/>
  <c r="M140" i="7"/>
  <c r="K140" i="7"/>
  <c r="I140" i="7"/>
  <c r="AI139" i="7"/>
  <c r="AG139" i="7"/>
  <c r="AE139" i="7"/>
  <c r="AC139" i="7"/>
  <c r="AA139" i="7"/>
  <c r="Y139" i="7"/>
  <c r="W139" i="7"/>
  <c r="U139" i="7"/>
  <c r="S139" i="7"/>
  <c r="Q139" i="7"/>
  <c r="O139" i="7"/>
  <c r="M139" i="7"/>
  <c r="K139" i="7"/>
  <c r="I139" i="7"/>
  <c r="AI138" i="7"/>
  <c r="AG138" i="7"/>
  <c r="AE138" i="7"/>
  <c r="AC138" i="7"/>
  <c r="AA138" i="7"/>
  <c r="Y138" i="7"/>
  <c r="W138" i="7"/>
  <c r="U138" i="7"/>
  <c r="S138" i="7"/>
  <c r="Q138" i="7"/>
  <c r="O138" i="7"/>
  <c r="M138" i="7"/>
  <c r="K138" i="7"/>
  <c r="I138" i="7"/>
  <c r="AI137" i="7"/>
  <c r="AG137" i="7"/>
  <c r="AE137" i="7"/>
  <c r="AC137" i="7"/>
  <c r="AA137" i="7"/>
  <c r="Y137" i="7"/>
  <c r="W137" i="7"/>
  <c r="U137" i="7"/>
  <c r="S137" i="7"/>
  <c r="Q137" i="7"/>
  <c r="O137" i="7"/>
  <c r="M137" i="7"/>
  <c r="K137" i="7"/>
  <c r="I137" i="7"/>
  <c r="AI136" i="7"/>
  <c r="AG136" i="7"/>
  <c r="AE136" i="7"/>
  <c r="AC136" i="7"/>
  <c r="AA136" i="7"/>
  <c r="Y136" i="7"/>
  <c r="W136" i="7"/>
  <c r="U136" i="7"/>
  <c r="S136" i="7"/>
  <c r="Q136" i="7"/>
  <c r="O136" i="7"/>
  <c r="M136" i="7"/>
  <c r="K136" i="7"/>
  <c r="I136" i="7"/>
  <c r="AI135" i="7"/>
  <c r="AG135" i="7"/>
  <c r="AE135" i="7"/>
  <c r="AC135" i="7"/>
  <c r="AA135" i="7"/>
  <c r="Y135" i="7"/>
  <c r="W135" i="7"/>
  <c r="U135" i="7"/>
  <c r="S135" i="7"/>
  <c r="Q135" i="7"/>
  <c r="O135" i="7"/>
  <c r="M135" i="7"/>
  <c r="K135" i="7"/>
  <c r="I135" i="7"/>
  <c r="AI134" i="7"/>
  <c r="AG134" i="7"/>
  <c r="AE134" i="7"/>
  <c r="AC134" i="7"/>
  <c r="AA134" i="7"/>
  <c r="Y134" i="7"/>
  <c r="W134" i="7"/>
  <c r="U134" i="7"/>
  <c r="S134" i="7"/>
  <c r="Q134" i="7"/>
  <c r="O134" i="7"/>
  <c r="M134" i="7"/>
  <c r="K134" i="7"/>
  <c r="I134" i="7"/>
  <c r="AI133" i="7"/>
  <c r="AG133" i="7"/>
  <c r="AE133" i="7"/>
  <c r="AC133" i="7"/>
  <c r="AA133" i="7"/>
  <c r="Y133" i="7"/>
  <c r="W133" i="7"/>
  <c r="U133" i="7"/>
  <c r="S133" i="7"/>
  <c r="Q133" i="7"/>
  <c r="O133" i="7"/>
  <c r="M133" i="7"/>
  <c r="K133" i="7"/>
  <c r="I133" i="7"/>
  <c r="AI132" i="7"/>
  <c r="AG132" i="7"/>
  <c r="AE132" i="7"/>
  <c r="AC132" i="7"/>
  <c r="AA132" i="7"/>
  <c r="Y132" i="7"/>
  <c r="W132" i="7"/>
  <c r="U132" i="7"/>
  <c r="S132" i="7"/>
  <c r="Q132" i="7"/>
  <c r="O132" i="7"/>
  <c r="M132" i="7"/>
  <c r="K132" i="7"/>
  <c r="I132" i="7"/>
  <c r="AI131" i="7"/>
  <c r="AG131" i="7"/>
  <c r="AE131" i="7"/>
  <c r="AC131" i="7"/>
  <c r="AA131" i="7"/>
  <c r="Y131" i="7"/>
  <c r="W131" i="7"/>
  <c r="U131" i="7"/>
  <c r="S131" i="7"/>
  <c r="Q131" i="7"/>
  <c r="O131" i="7"/>
  <c r="M131" i="7"/>
  <c r="K131" i="7"/>
  <c r="I131" i="7"/>
  <c r="AI130" i="7"/>
  <c r="AG130" i="7"/>
  <c r="AE130" i="7"/>
  <c r="AC130" i="7"/>
  <c r="AA130" i="7"/>
  <c r="Y130" i="7"/>
  <c r="W130" i="7"/>
  <c r="U130" i="7"/>
  <c r="S130" i="7"/>
  <c r="Q130" i="7"/>
  <c r="O130" i="7"/>
  <c r="M130" i="7"/>
  <c r="K130" i="7"/>
  <c r="I130" i="7"/>
  <c r="AI129" i="7"/>
  <c r="AG129" i="7"/>
  <c r="AE129" i="7"/>
  <c r="AC129" i="7"/>
  <c r="AA129" i="7"/>
  <c r="Y129" i="7"/>
  <c r="W129" i="7"/>
  <c r="U129" i="7"/>
  <c r="S129" i="7"/>
  <c r="Q129" i="7"/>
  <c r="O129" i="7"/>
  <c r="M129" i="7"/>
  <c r="K129" i="7"/>
  <c r="I129" i="7"/>
  <c r="AI128" i="7"/>
  <c r="AG128" i="7"/>
  <c r="AE128" i="7"/>
  <c r="AC128" i="7"/>
  <c r="AA128" i="7"/>
  <c r="Y128" i="7"/>
  <c r="W128" i="7"/>
  <c r="U128" i="7"/>
  <c r="S128" i="7"/>
  <c r="Q128" i="7"/>
  <c r="O128" i="7"/>
  <c r="M128" i="7"/>
  <c r="K128" i="7"/>
  <c r="I128" i="7"/>
  <c r="AI127" i="7"/>
  <c r="AG127" i="7"/>
  <c r="AE127" i="7"/>
  <c r="AC127" i="7"/>
  <c r="AA127" i="7"/>
  <c r="Y127" i="7"/>
  <c r="W127" i="7"/>
  <c r="U127" i="7"/>
  <c r="S127" i="7"/>
  <c r="Q127" i="7"/>
  <c r="O127" i="7"/>
  <c r="M127" i="7"/>
  <c r="K127" i="7"/>
  <c r="I127" i="7"/>
  <c r="AI126" i="7"/>
  <c r="AG126" i="7"/>
  <c r="AE126" i="7"/>
  <c r="AC126" i="7"/>
  <c r="AA126" i="7"/>
  <c r="Y126" i="7"/>
  <c r="W126" i="7"/>
  <c r="U126" i="7"/>
  <c r="S126" i="7"/>
  <c r="Q126" i="7"/>
  <c r="O126" i="7"/>
  <c r="M126" i="7"/>
  <c r="K126" i="7"/>
  <c r="I126" i="7"/>
  <c r="AI125" i="7"/>
  <c r="AG125" i="7"/>
  <c r="AE125" i="7"/>
  <c r="AC125" i="7"/>
  <c r="AA125" i="7"/>
  <c r="Y125" i="7"/>
  <c r="W125" i="7"/>
  <c r="U125" i="7"/>
  <c r="S125" i="7"/>
  <c r="Q125" i="7"/>
  <c r="O125" i="7"/>
  <c r="M125" i="7"/>
  <c r="K125" i="7"/>
  <c r="I125" i="7"/>
  <c r="AI124" i="7"/>
  <c r="AG124" i="7"/>
  <c r="AE124" i="7"/>
  <c r="AC124" i="7"/>
  <c r="AA124" i="7"/>
  <c r="Y124" i="7"/>
  <c r="W124" i="7"/>
  <c r="U124" i="7"/>
  <c r="S124" i="7"/>
  <c r="Q124" i="7"/>
  <c r="O124" i="7"/>
  <c r="M124" i="7"/>
  <c r="K124" i="7"/>
  <c r="I124" i="7"/>
  <c r="AI123" i="7"/>
  <c r="AG123" i="7"/>
  <c r="AE123" i="7"/>
  <c r="AC123" i="7"/>
  <c r="AA123" i="7"/>
  <c r="Y123" i="7"/>
  <c r="W123" i="7"/>
  <c r="U123" i="7"/>
  <c r="S123" i="7"/>
  <c r="Q123" i="7"/>
  <c r="O123" i="7"/>
  <c r="M123" i="7"/>
  <c r="K123" i="7"/>
  <c r="I123" i="7"/>
  <c r="AI122" i="7"/>
  <c r="AG122" i="7"/>
  <c r="AE122" i="7"/>
  <c r="AC122" i="7"/>
  <c r="AA122" i="7"/>
  <c r="Y122" i="7"/>
  <c r="W122" i="7"/>
  <c r="U122" i="7"/>
  <c r="S122" i="7"/>
  <c r="Q122" i="7"/>
  <c r="O122" i="7"/>
  <c r="M122" i="7"/>
  <c r="K122" i="7"/>
  <c r="I122" i="7"/>
  <c r="AI121" i="7"/>
  <c r="AG121" i="7"/>
  <c r="AE121" i="7"/>
  <c r="AC121" i="7"/>
  <c r="AA121" i="7"/>
  <c r="Y121" i="7"/>
  <c r="W121" i="7"/>
  <c r="U121" i="7"/>
  <c r="S121" i="7"/>
  <c r="Q121" i="7"/>
  <c r="O121" i="7"/>
  <c r="M121" i="7"/>
  <c r="K121" i="7"/>
  <c r="I121" i="7"/>
  <c r="AI120" i="7"/>
  <c r="AG120" i="7"/>
  <c r="AE120" i="7"/>
  <c r="AC120" i="7"/>
  <c r="AA120" i="7"/>
  <c r="Y120" i="7"/>
  <c r="W120" i="7"/>
  <c r="U120" i="7"/>
  <c r="S120" i="7"/>
  <c r="Q120" i="7"/>
  <c r="O120" i="7"/>
  <c r="M120" i="7"/>
  <c r="K120" i="7"/>
  <c r="I120" i="7"/>
  <c r="AI119" i="7"/>
  <c r="AG119" i="7"/>
  <c r="AE119" i="7"/>
  <c r="AC119" i="7"/>
  <c r="AA119" i="7"/>
  <c r="Y119" i="7"/>
  <c r="W119" i="7"/>
  <c r="U119" i="7"/>
  <c r="S119" i="7"/>
  <c r="Q119" i="7"/>
  <c r="O119" i="7"/>
  <c r="M119" i="7"/>
  <c r="K119" i="7"/>
  <c r="I119" i="7"/>
  <c r="AI118" i="7"/>
  <c r="AG118" i="7"/>
  <c r="AE118" i="7"/>
  <c r="AC118" i="7"/>
  <c r="AA118" i="7"/>
  <c r="Y118" i="7"/>
  <c r="W118" i="7"/>
  <c r="U118" i="7"/>
  <c r="S118" i="7"/>
  <c r="Q118" i="7"/>
  <c r="O118" i="7"/>
  <c r="M118" i="7"/>
  <c r="K118" i="7"/>
  <c r="I118" i="7"/>
  <c r="AI117" i="7"/>
  <c r="AG117" i="7"/>
  <c r="AE117" i="7"/>
  <c r="AC117" i="7"/>
  <c r="AA117" i="7"/>
  <c r="Y117" i="7"/>
  <c r="W117" i="7"/>
  <c r="U117" i="7"/>
  <c r="S117" i="7"/>
  <c r="Q117" i="7"/>
  <c r="O117" i="7"/>
  <c r="M117" i="7"/>
  <c r="K117" i="7"/>
  <c r="I117" i="7"/>
  <c r="AI116" i="7"/>
  <c r="AG116" i="7"/>
  <c r="AE116" i="7"/>
  <c r="AC116" i="7"/>
  <c r="AA116" i="7"/>
  <c r="Y116" i="7"/>
  <c r="W116" i="7"/>
  <c r="U116" i="7"/>
  <c r="S116" i="7"/>
  <c r="Q116" i="7"/>
  <c r="O116" i="7"/>
  <c r="M116" i="7"/>
  <c r="K116" i="7"/>
  <c r="I116" i="7"/>
  <c r="AI115" i="7"/>
  <c r="AG115" i="7"/>
  <c r="AE115" i="7"/>
  <c r="AC115" i="7"/>
  <c r="AA115" i="7"/>
  <c r="Y115" i="7"/>
  <c r="W115" i="7"/>
  <c r="U115" i="7"/>
  <c r="S115" i="7"/>
  <c r="Q115" i="7"/>
  <c r="O115" i="7"/>
  <c r="M115" i="7"/>
  <c r="K115" i="7"/>
  <c r="I115" i="7"/>
  <c r="AI114" i="7"/>
  <c r="AG114" i="7"/>
  <c r="AE114" i="7"/>
  <c r="AC114" i="7"/>
  <c r="AA114" i="7"/>
  <c r="Y114" i="7"/>
  <c r="W114" i="7"/>
  <c r="U114" i="7"/>
  <c r="S114" i="7"/>
  <c r="Q114" i="7"/>
  <c r="O114" i="7"/>
  <c r="M114" i="7"/>
  <c r="K114" i="7"/>
  <c r="I114" i="7"/>
  <c r="AI113" i="7"/>
  <c r="AG113" i="7"/>
  <c r="AE113" i="7"/>
  <c r="AC113" i="7"/>
  <c r="AA113" i="7"/>
  <c r="Y113" i="7"/>
  <c r="W113" i="7"/>
  <c r="U113" i="7"/>
  <c r="S113" i="7"/>
  <c r="Q113" i="7"/>
  <c r="O113" i="7"/>
  <c r="M113" i="7"/>
  <c r="K113" i="7"/>
  <c r="I113" i="7"/>
  <c r="AI112" i="7"/>
  <c r="AG112" i="7"/>
  <c r="AE112" i="7"/>
  <c r="AC112" i="7"/>
  <c r="AA112" i="7"/>
  <c r="Y112" i="7"/>
  <c r="W112" i="7"/>
  <c r="U112" i="7"/>
  <c r="S112" i="7"/>
  <c r="Q112" i="7"/>
  <c r="O112" i="7"/>
  <c r="M112" i="7"/>
  <c r="K112" i="7"/>
  <c r="I112" i="7"/>
  <c r="AI111" i="7"/>
  <c r="AG111" i="7"/>
  <c r="AE111" i="7"/>
  <c r="AC111" i="7"/>
  <c r="AA111" i="7"/>
  <c r="Y111" i="7"/>
  <c r="W111" i="7"/>
  <c r="U111" i="7"/>
  <c r="S111" i="7"/>
  <c r="Q111" i="7"/>
  <c r="O111" i="7"/>
  <c r="M111" i="7"/>
  <c r="K111" i="7"/>
  <c r="I111" i="7"/>
  <c r="AI110" i="7"/>
  <c r="AG110" i="7"/>
  <c r="AE110" i="7"/>
  <c r="AC110" i="7"/>
  <c r="AA110" i="7"/>
  <c r="Y110" i="7"/>
  <c r="W110" i="7"/>
  <c r="U110" i="7"/>
  <c r="S110" i="7"/>
  <c r="Q110" i="7"/>
  <c r="O110" i="7"/>
  <c r="M110" i="7"/>
  <c r="K110" i="7"/>
  <c r="I110" i="7"/>
  <c r="AI109" i="7"/>
  <c r="AG109" i="7"/>
  <c r="AE109" i="7"/>
  <c r="AC109" i="7"/>
  <c r="AA109" i="7"/>
  <c r="Y109" i="7"/>
  <c r="W109" i="7"/>
  <c r="U109" i="7"/>
  <c r="S109" i="7"/>
  <c r="Q109" i="7"/>
  <c r="O109" i="7"/>
  <c r="M109" i="7"/>
  <c r="K109" i="7"/>
  <c r="I109" i="7"/>
  <c r="AI108" i="7"/>
  <c r="AG108" i="7"/>
  <c r="AE108" i="7"/>
  <c r="AC108" i="7"/>
  <c r="AA108" i="7"/>
  <c r="Y108" i="7"/>
  <c r="W108" i="7"/>
  <c r="U108" i="7"/>
  <c r="S108" i="7"/>
  <c r="Q108" i="7"/>
  <c r="O108" i="7"/>
  <c r="M108" i="7"/>
  <c r="K108" i="7"/>
  <c r="I108" i="7"/>
  <c r="AI107" i="7"/>
  <c r="AG107" i="7"/>
  <c r="AE107" i="7"/>
  <c r="AC107" i="7"/>
  <c r="AA107" i="7"/>
  <c r="Y107" i="7"/>
  <c r="W107" i="7"/>
  <c r="U107" i="7"/>
  <c r="S107" i="7"/>
  <c r="Q107" i="7"/>
  <c r="O107" i="7"/>
  <c r="M107" i="7"/>
  <c r="K107" i="7"/>
  <c r="I107" i="7"/>
  <c r="AI106" i="7"/>
  <c r="AG106" i="7"/>
  <c r="AE106" i="7"/>
  <c r="AC106" i="7"/>
  <c r="AA106" i="7"/>
  <c r="Y106" i="7"/>
  <c r="W106" i="7"/>
  <c r="U106" i="7"/>
  <c r="S106" i="7"/>
  <c r="Q106" i="7"/>
  <c r="O106" i="7"/>
  <c r="M106" i="7"/>
  <c r="K106" i="7"/>
  <c r="I106" i="7"/>
  <c r="AI105" i="7"/>
  <c r="AG105" i="7"/>
  <c r="AE105" i="7"/>
  <c r="AC105" i="7"/>
  <c r="AA105" i="7"/>
  <c r="Y105" i="7"/>
  <c r="W105" i="7"/>
  <c r="U105" i="7"/>
  <c r="S105" i="7"/>
  <c r="Q105" i="7"/>
  <c r="O105" i="7"/>
  <c r="M105" i="7"/>
  <c r="K105" i="7"/>
  <c r="I105" i="7"/>
  <c r="AI104" i="7"/>
  <c r="AG104" i="7"/>
  <c r="AE104" i="7"/>
  <c r="AC104" i="7"/>
  <c r="AA104" i="7"/>
  <c r="Y104" i="7"/>
  <c r="W104" i="7"/>
  <c r="U104" i="7"/>
  <c r="S104" i="7"/>
  <c r="Q104" i="7"/>
  <c r="O104" i="7"/>
  <c r="M104" i="7"/>
  <c r="K104" i="7"/>
  <c r="I104" i="7"/>
  <c r="AI103" i="7"/>
  <c r="AG103" i="7"/>
  <c r="AE103" i="7"/>
  <c r="AC103" i="7"/>
  <c r="AA103" i="7"/>
  <c r="Y103" i="7"/>
  <c r="W103" i="7"/>
  <c r="U103" i="7"/>
  <c r="S103" i="7"/>
  <c r="Q103" i="7"/>
  <c r="O103" i="7"/>
  <c r="M103" i="7"/>
  <c r="K103" i="7"/>
  <c r="I103" i="7"/>
  <c r="AI102" i="7"/>
  <c r="AG102" i="7"/>
  <c r="AE102" i="7"/>
  <c r="AC102" i="7"/>
  <c r="AA102" i="7"/>
  <c r="Y102" i="7"/>
  <c r="W102" i="7"/>
  <c r="U102" i="7"/>
  <c r="S102" i="7"/>
  <c r="Q102" i="7"/>
  <c r="O102" i="7"/>
  <c r="M102" i="7"/>
  <c r="K102" i="7"/>
  <c r="I102" i="7"/>
  <c r="AI101" i="7"/>
  <c r="AG101" i="7"/>
  <c r="AE101" i="7"/>
  <c r="AC101" i="7"/>
  <c r="AA101" i="7"/>
  <c r="Y101" i="7"/>
  <c r="W101" i="7"/>
  <c r="U101" i="7"/>
  <c r="S101" i="7"/>
  <c r="Q101" i="7"/>
  <c r="O101" i="7"/>
  <c r="M101" i="7"/>
  <c r="K101" i="7"/>
  <c r="I101" i="7"/>
  <c r="AI100" i="7"/>
  <c r="AG100" i="7"/>
  <c r="AE100" i="7"/>
  <c r="AC100" i="7"/>
  <c r="AA100" i="7"/>
  <c r="Y100" i="7"/>
  <c r="W100" i="7"/>
  <c r="U100" i="7"/>
  <c r="S100" i="7"/>
  <c r="Q100" i="7"/>
  <c r="O100" i="7"/>
  <c r="M100" i="7"/>
  <c r="K100" i="7"/>
  <c r="I100" i="7"/>
  <c r="AI50" i="7"/>
  <c r="AG50" i="7"/>
  <c r="AE50" i="7"/>
  <c r="AC50" i="7"/>
  <c r="AA50" i="7"/>
  <c r="Y50" i="7"/>
  <c r="W50" i="7"/>
  <c r="U50" i="7"/>
  <c r="S50" i="7"/>
  <c r="Q50" i="7"/>
  <c r="O50" i="7"/>
  <c r="M50" i="7"/>
  <c r="K50" i="7"/>
  <c r="I50" i="7"/>
  <c r="AI49" i="7"/>
  <c r="AG49" i="7"/>
  <c r="AE49" i="7"/>
  <c r="AC49" i="7"/>
  <c r="AA49" i="7"/>
  <c r="Y49" i="7"/>
  <c r="W49" i="7"/>
  <c r="U49" i="7"/>
  <c r="S49" i="7"/>
  <c r="Q49" i="7"/>
  <c r="O49" i="7"/>
  <c r="M49" i="7"/>
  <c r="K49" i="7"/>
  <c r="I49" i="7"/>
  <c r="AI48" i="7"/>
  <c r="AG48" i="7"/>
  <c r="AE48" i="7"/>
  <c r="AC48" i="7"/>
  <c r="AA48" i="7"/>
  <c r="Y48" i="7"/>
  <c r="W48" i="7"/>
  <c r="U48" i="7"/>
  <c r="S48" i="7"/>
  <c r="Q48" i="7"/>
  <c r="O48" i="7"/>
  <c r="M48" i="7"/>
  <c r="K48" i="7"/>
  <c r="I48" i="7"/>
  <c r="AI47" i="7"/>
  <c r="AG47" i="7"/>
  <c r="AE47" i="7"/>
  <c r="AC47" i="7"/>
  <c r="AA47" i="7"/>
  <c r="Y47" i="7"/>
  <c r="W47" i="7"/>
  <c r="U47" i="7"/>
  <c r="S47" i="7"/>
  <c r="Q47" i="7"/>
  <c r="O47" i="7"/>
  <c r="M47" i="7"/>
  <c r="K47" i="7"/>
  <c r="I47" i="7"/>
  <c r="AI46" i="7"/>
  <c r="AG46" i="7"/>
  <c r="AE46" i="7"/>
  <c r="AC46" i="7"/>
  <c r="AA46" i="7"/>
  <c r="Y46" i="7"/>
  <c r="W46" i="7"/>
  <c r="U46" i="7"/>
  <c r="S46" i="7"/>
  <c r="Q46" i="7"/>
  <c r="O46" i="7"/>
  <c r="M46" i="7"/>
  <c r="K46" i="7"/>
  <c r="I46" i="7"/>
  <c r="AI45" i="7"/>
  <c r="AG45" i="7"/>
  <c r="AE45" i="7"/>
  <c r="AC45" i="7"/>
  <c r="AA45" i="7"/>
  <c r="Y45" i="7"/>
  <c r="W45" i="7"/>
  <c r="U45" i="7"/>
  <c r="S45" i="7"/>
  <c r="Q45" i="7"/>
  <c r="O45" i="7"/>
  <c r="M45" i="7"/>
  <c r="K45" i="7"/>
  <c r="I45" i="7"/>
  <c r="AI44" i="7"/>
  <c r="AG44" i="7"/>
  <c r="AE44" i="7"/>
  <c r="AC44" i="7"/>
  <c r="AA44" i="7"/>
  <c r="Y44" i="7"/>
  <c r="W44" i="7"/>
  <c r="U44" i="7"/>
  <c r="S44" i="7"/>
  <c r="Q44" i="7"/>
  <c r="O44" i="7"/>
  <c r="M44" i="7"/>
  <c r="K44" i="7"/>
  <c r="I44" i="7"/>
  <c r="AI43" i="7"/>
  <c r="AG43" i="7"/>
  <c r="AE43" i="7"/>
  <c r="AC43" i="7"/>
  <c r="AA43" i="7"/>
  <c r="Y43" i="7"/>
  <c r="W43" i="7"/>
  <c r="U43" i="7"/>
  <c r="S43" i="7"/>
  <c r="Q43" i="7"/>
  <c r="O43" i="7"/>
  <c r="M43" i="7"/>
  <c r="K43" i="7"/>
  <c r="I43" i="7"/>
  <c r="AI42" i="7"/>
  <c r="AG42" i="7"/>
  <c r="AE42" i="7"/>
  <c r="AC42" i="7"/>
  <c r="AA42" i="7"/>
  <c r="Y42" i="7"/>
  <c r="W42" i="7"/>
  <c r="U42" i="7"/>
  <c r="S42" i="7"/>
  <c r="Q42" i="7"/>
  <c r="O42" i="7"/>
  <c r="M42" i="7"/>
  <c r="K42" i="7"/>
  <c r="I42" i="7"/>
  <c r="AI41" i="7"/>
  <c r="AG41" i="7"/>
  <c r="AE41" i="7"/>
  <c r="AC41" i="7"/>
  <c r="AA41" i="7"/>
  <c r="Y41" i="7"/>
  <c r="W41" i="7"/>
  <c r="U41" i="7"/>
  <c r="S41" i="7"/>
  <c r="Q41" i="7"/>
  <c r="O41" i="7"/>
  <c r="M41" i="7"/>
  <c r="K41" i="7"/>
  <c r="I41" i="7"/>
  <c r="AI40" i="7"/>
  <c r="AG40" i="7"/>
  <c r="AE40" i="7"/>
  <c r="AC40" i="7"/>
  <c r="AA40" i="7"/>
  <c r="Y40" i="7"/>
  <c r="W40" i="7"/>
  <c r="U40" i="7"/>
  <c r="S40" i="7"/>
  <c r="Q40" i="7"/>
  <c r="O40" i="7"/>
  <c r="M40" i="7"/>
  <c r="K40" i="7"/>
  <c r="I40" i="7"/>
  <c r="AI39" i="7"/>
  <c r="AG39" i="7"/>
  <c r="AE39" i="7"/>
  <c r="AC39" i="7"/>
  <c r="AA39" i="7"/>
  <c r="Y39" i="7"/>
  <c r="W39" i="7"/>
  <c r="U39" i="7"/>
  <c r="S39" i="7"/>
  <c r="Q39" i="7"/>
  <c r="O39" i="7"/>
  <c r="M39" i="7"/>
  <c r="K39" i="7"/>
  <c r="I39" i="7"/>
  <c r="AI38" i="7"/>
  <c r="AG38" i="7"/>
  <c r="AE38" i="7"/>
  <c r="AC38" i="7"/>
  <c r="AA38" i="7"/>
  <c r="Y38" i="7"/>
  <c r="W38" i="7"/>
  <c r="U38" i="7"/>
  <c r="S38" i="7"/>
  <c r="Q38" i="7"/>
  <c r="O38" i="7"/>
  <c r="M38" i="7"/>
  <c r="K38" i="7"/>
  <c r="I38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AI36" i="7"/>
  <c r="AG36" i="7"/>
  <c r="AE36" i="7"/>
  <c r="AC36" i="7"/>
  <c r="AA36" i="7"/>
  <c r="Y36" i="7"/>
  <c r="W36" i="7"/>
  <c r="U36" i="7"/>
  <c r="S36" i="7"/>
  <c r="Q36" i="7"/>
  <c r="O36" i="7"/>
  <c r="M36" i="7"/>
  <c r="K36" i="7"/>
  <c r="I36" i="7"/>
  <c r="AI35" i="7"/>
  <c r="AG35" i="7"/>
  <c r="AE35" i="7"/>
  <c r="AC35" i="7"/>
  <c r="AA35" i="7"/>
  <c r="Y35" i="7"/>
  <c r="W35" i="7"/>
  <c r="U35" i="7"/>
  <c r="S35" i="7"/>
  <c r="Q35" i="7"/>
  <c r="O35" i="7"/>
  <c r="M35" i="7"/>
  <c r="K35" i="7"/>
  <c r="I35" i="7"/>
  <c r="AI34" i="7"/>
  <c r="AG34" i="7"/>
  <c r="AE34" i="7"/>
  <c r="AC34" i="7"/>
  <c r="AA34" i="7"/>
  <c r="Y34" i="7"/>
  <c r="W34" i="7"/>
  <c r="U34" i="7"/>
  <c r="S34" i="7"/>
  <c r="Q34" i="7"/>
  <c r="O34" i="7"/>
  <c r="M34" i="7"/>
  <c r="K34" i="7"/>
  <c r="I34" i="7"/>
  <c r="AI33" i="7"/>
  <c r="AG33" i="7"/>
  <c r="AE33" i="7"/>
  <c r="AC33" i="7"/>
  <c r="AA33" i="7"/>
  <c r="Y33" i="7"/>
  <c r="W33" i="7"/>
  <c r="U33" i="7"/>
  <c r="S33" i="7"/>
  <c r="Q33" i="7"/>
  <c r="O33" i="7"/>
  <c r="M33" i="7"/>
  <c r="K33" i="7"/>
  <c r="I33" i="7"/>
  <c r="AI32" i="7"/>
  <c r="AG32" i="7"/>
  <c r="AE32" i="7"/>
  <c r="AC32" i="7"/>
  <c r="AA32" i="7"/>
  <c r="Y32" i="7"/>
  <c r="W32" i="7"/>
  <c r="U32" i="7"/>
  <c r="S32" i="7"/>
  <c r="Q32" i="7"/>
  <c r="O32" i="7"/>
  <c r="M32" i="7"/>
  <c r="K32" i="7"/>
  <c r="I32" i="7"/>
  <c r="AI31" i="7"/>
  <c r="AG31" i="7"/>
  <c r="AE31" i="7"/>
  <c r="AC31" i="7"/>
  <c r="AA31" i="7"/>
  <c r="Y31" i="7"/>
  <c r="W31" i="7"/>
  <c r="U31" i="7"/>
  <c r="S31" i="7"/>
  <c r="Q31" i="7"/>
  <c r="O31" i="7"/>
  <c r="M31" i="7"/>
  <c r="K31" i="7"/>
  <c r="I31" i="7"/>
  <c r="AI30" i="7"/>
  <c r="AG30" i="7"/>
  <c r="AE30" i="7"/>
  <c r="AC30" i="7"/>
  <c r="AA30" i="7"/>
  <c r="Y30" i="7"/>
  <c r="W30" i="7"/>
  <c r="U30" i="7"/>
  <c r="S30" i="7"/>
  <c r="Q30" i="7"/>
  <c r="O30" i="7"/>
  <c r="M30" i="7"/>
  <c r="K30" i="7"/>
  <c r="I30" i="7"/>
  <c r="AI29" i="7"/>
  <c r="AG29" i="7"/>
  <c r="AE29" i="7"/>
  <c r="AC29" i="7"/>
  <c r="AA29" i="7"/>
  <c r="Y29" i="7"/>
  <c r="W29" i="7"/>
  <c r="U29" i="7"/>
  <c r="S29" i="7"/>
  <c r="Q29" i="7"/>
  <c r="O29" i="7"/>
  <c r="M29" i="7"/>
  <c r="K29" i="7"/>
  <c r="I29" i="7"/>
  <c r="AI28" i="7"/>
  <c r="AG28" i="7"/>
  <c r="AE28" i="7"/>
  <c r="AC28" i="7"/>
  <c r="AA28" i="7"/>
  <c r="Y28" i="7"/>
  <c r="W28" i="7"/>
  <c r="U28" i="7"/>
  <c r="S28" i="7"/>
  <c r="Q28" i="7"/>
  <c r="O28" i="7"/>
  <c r="M28" i="7"/>
  <c r="K28" i="7"/>
  <c r="I28" i="7"/>
  <c r="AI27" i="7"/>
  <c r="AG27" i="7"/>
  <c r="AE27" i="7"/>
  <c r="AC27" i="7"/>
  <c r="AA27" i="7"/>
  <c r="Y27" i="7"/>
  <c r="W27" i="7"/>
  <c r="U27" i="7"/>
  <c r="S27" i="7"/>
  <c r="Q27" i="7"/>
  <c r="O27" i="7"/>
  <c r="M27" i="7"/>
  <c r="K27" i="7"/>
  <c r="I27" i="7"/>
  <c r="AI26" i="7"/>
  <c r="AG26" i="7"/>
  <c r="AE26" i="7"/>
  <c r="AC26" i="7"/>
  <c r="AA26" i="7"/>
  <c r="Y26" i="7"/>
  <c r="W26" i="7"/>
  <c r="U26" i="7"/>
  <c r="S26" i="7"/>
  <c r="Q26" i="7"/>
  <c r="O26" i="7"/>
  <c r="M26" i="7"/>
  <c r="K26" i="7"/>
  <c r="I26" i="7"/>
  <c r="AI25" i="7"/>
  <c r="AG25" i="7"/>
  <c r="AE25" i="7"/>
  <c r="AC25" i="7"/>
  <c r="AA25" i="7"/>
  <c r="Y25" i="7"/>
  <c r="W25" i="7"/>
  <c r="U25" i="7"/>
  <c r="S25" i="7"/>
  <c r="Q25" i="7"/>
  <c r="O25" i="7"/>
  <c r="M25" i="7"/>
  <c r="K25" i="7"/>
  <c r="I25" i="7"/>
  <c r="AI24" i="7"/>
  <c r="AG24" i="7"/>
  <c r="AE24" i="7"/>
  <c r="AC24" i="7"/>
  <c r="AA24" i="7"/>
  <c r="Y24" i="7"/>
  <c r="W24" i="7"/>
  <c r="U24" i="7"/>
  <c r="S24" i="7"/>
  <c r="Q24" i="7"/>
  <c r="O24" i="7"/>
  <c r="M24" i="7"/>
  <c r="K24" i="7"/>
  <c r="I24" i="7"/>
  <c r="AI23" i="7"/>
  <c r="AG23" i="7"/>
  <c r="AE23" i="7"/>
  <c r="AC23" i="7"/>
  <c r="AA23" i="7"/>
  <c r="Y23" i="7"/>
  <c r="W23" i="7"/>
  <c r="U23" i="7"/>
  <c r="S23" i="7"/>
  <c r="Q23" i="7"/>
  <c r="O23" i="7"/>
  <c r="M23" i="7"/>
  <c r="K23" i="7"/>
  <c r="I23" i="7"/>
  <c r="AI22" i="7"/>
  <c r="AG22" i="7"/>
  <c r="AE22" i="7"/>
  <c r="AC22" i="7"/>
  <c r="AA22" i="7"/>
  <c r="Y22" i="7"/>
  <c r="W22" i="7"/>
  <c r="U22" i="7"/>
  <c r="S22" i="7"/>
  <c r="Q22" i="7"/>
  <c r="O22" i="7"/>
  <c r="M22" i="7"/>
  <c r="K22" i="7"/>
  <c r="I22" i="7"/>
  <c r="AI21" i="7"/>
  <c r="AG21" i="7"/>
  <c r="AE21" i="7"/>
  <c r="AC21" i="7"/>
  <c r="AA21" i="7"/>
  <c r="Y21" i="7"/>
  <c r="W21" i="7"/>
  <c r="U21" i="7"/>
  <c r="S21" i="7"/>
  <c r="Q21" i="7"/>
  <c r="O21" i="7"/>
  <c r="M21" i="7"/>
  <c r="K21" i="7"/>
  <c r="I21" i="7"/>
  <c r="AI20" i="7"/>
  <c r="AG20" i="7"/>
  <c r="AE20" i="7"/>
  <c r="AC20" i="7"/>
  <c r="AA20" i="7"/>
  <c r="Y20" i="7"/>
  <c r="W20" i="7"/>
  <c r="U20" i="7"/>
  <c r="S20" i="7"/>
  <c r="Q20" i="7"/>
  <c r="O20" i="7"/>
  <c r="M20" i="7"/>
  <c r="K20" i="7"/>
  <c r="I20" i="7"/>
  <c r="AI19" i="7"/>
  <c r="AG19" i="7"/>
  <c r="AE19" i="7"/>
  <c r="AC19" i="7"/>
  <c r="AA19" i="7"/>
  <c r="Y19" i="7"/>
  <c r="W19" i="7"/>
  <c r="U19" i="7"/>
  <c r="S19" i="7"/>
  <c r="Q19" i="7"/>
  <c r="O19" i="7"/>
  <c r="M19" i="7"/>
  <c r="K19" i="7"/>
  <c r="I19" i="7"/>
  <c r="AI18" i="7"/>
  <c r="AG18" i="7"/>
  <c r="AE18" i="7"/>
  <c r="AC18" i="7"/>
  <c r="AA18" i="7"/>
  <c r="Y18" i="7"/>
  <c r="W18" i="7"/>
  <c r="U18" i="7"/>
  <c r="S18" i="7"/>
  <c r="Q18" i="7"/>
  <c r="O18" i="7"/>
  <c r="M18" i="7"/>
  <c r="K18" i="7"/>
  <c r="I18" i="7"/>
  <c r="AI17" i="7"/>
  <c r="AG17" i="7"/>
  <c r="AE17" i="7"/>
  <c r="AC17" i="7"/>
  <c r="AA17" i="7"/>
  <c r="Y17" i="7"/>
  <c r="W17" i="7"/>
  <c r="U17" i="7"/>
  <c r="S17" i="7"/>
  <c r="Q17" i="7"/>
  <c r="O17" i="7"/>
  <c r="M17" i="7"/>
  <c r="K17" i="7"/>
  <c r="I17" i="7"/>
  <c r="AI16" i="7"/>
  <c r="AG16" i="7"/>
  <c r="AE16" i="7"/>
  <c r="AC16" i="7"/>
  <c r="AA16" i="7"/>
  <c r="Y16" i="7"/>
  <c r="W16" i="7"/>
  <c r="U16" i="7"/>
  <c r="S16" i="7"/>
  <c r="Q16" i="7"/>
  <c r="O16" i="7"/>
  <c r="M16" i="7"/>
  <c r="K16" i="7"/>
  <c r="I16" i="7"/>
  <c r="AI15" i="7"/>
  <c r="AG15" i="7"/>
  <c r="AE15" i="7"/>
  <c r="AC15" i="7"/>
  <c r="AA15" i="7"/>
  <c r="Y15" i="7"/>
  <c r="W15" i="7"/>
  <c r="U15" i="7"/>
  <c r="S15" i="7"/>
  <c r="Q15" i="7"/>
  <c r="O15" i="7"/>
  <c r="M15" i="7"/>
  <c r="K15" i="7"/>
  <c r="I15" i="7"/>
  <c r="AI14" i="7"/>
  <c r="AG14" i="7"/>
  <c r="AE14" i="7"/>
  <c r="AC14" i="7"/>
  <c r="AA14" i="7"/>
  <c r="Y14" i="7"/>
  <c r="W14" i="7"/>
  <c r="U14" i="7"/>
  <c r="S14" i="7"/>
  <c r="Q14" i="7"/>
  <c r="O14" i="7"/>
  <c r="M14" i="7"/>
  <c r="K14" i="7"/>
  <c r="I14" i="7"/>
  <c r="AI13" i="7"/>
  <c r="AG13" i="7"/>
  <c r="AE13" i="7"/>
  <c r="AC13" i="7"/>
  <c r="AA13" i="7"/>
  <c r="Y13" i="7"/>
  <c r="W13" i="7"/>
  <c r="U13" i="7"/>
  <c r="S13" i="7"/>
  <c r="Q13" i="7"/>
  <c r="O13" i="7"/>
  <c r="M13" i="7"/>
  <c r="K13" i="7"/>
  <c r="I13" i="7"/>
  <c r="AI12" i="7"/>
  <c r="AG12" i="7"/>
  <c r="AE12" i="7"/>
  <c r="AC12" i="7"/>
  <c r="AA12" i="7"/>
  <c r="Y12" i="7"/>
  <c r="W12" i="7"/>
  <c r="U12" i="7"/>
  <c r="S12" i="7"/>
  <c r="Q12" i="7"/>
  <c r="O12" i="7"/>
  <c r="M12" i="7"/>
  <c r="K12" i="7"/>
  <c r="I12" i="7"/>
  <c r="AI11" i="7"/>
  <c r="AG11" i="7"/>
  <c r="AE11" i="7"/>
  <c r="AC11" i="7"/>
  <c r="AA11" i="7"/>
  <c r="Y11" i="7"/>
  <c r="W11" i="7"/>
  <c r="U11" i="7"/>
  <c r="S11" i="7"/>
  <c r="Q11" i="7"/>
  <c r="O11" i="7"/>
  <c r="M11" i="7"/>
  <c r="K11" i="7"/>
  <c r="I11" i="7"/>
  <c r="AI10" i="7"/>
  <c r="AG10" i="7"/>
  <c r="AE10" i="7"/>
  <c r="AC10" i="7"/>
  <c r="AA10" i="7"/>
  <c r="Y10" i="7"/>
  <c r="W10" i="7"/>
  <c r="U10" i="7"/>
  <c r="S10" i="7"/>
  <c r="Q10" i="7"/>
  <c r="O10" i="7"/>
  <c r="M10" i="7"/>
  <c r="K10" i="7"/>
  <c r="I10" i="7"/>
  <c r="AI9" i="7"/>
  <c r="AG9" i="7"/>
  <c r="AE9" i="7"/>
  <c r="AC9" i="7"/>
  <c r="AA9" i="7"/>
  <c r="Y9" i="7"/>
  <c r="W9" i="7"/>
  <c r="U9" i="7"/>
  <c r="S9" i="7"/>
  <c r="Q9" i="7"/>
  <c r="O9" i="7"/>
  <c r="M9" i="7"/>
  <c r="K9" i="7"/>
  <c r="I9" i="7"/>
  <c r="AI8" i="7"/>
  <c r="AG8" i="7"/>
  <c r="AE8" i="7"/>
  <c r="AC8" i="7"/>
  <c r="AA8" i="7"/>
  <c r="Y8" i="7"/>
  <c r="W8" i="7"/>
  <c r="U8" i="7"/>
  <c r="S8" i="7"/>
  <c r="Q8" i="7"/>
  <c r="O8" i="7"/>
  <c r="M8" i="7"/>
  <c r="K8" i="7"/>
  <c r="I8" i="7"/>
  <c r="AI7" i="7"/>
  <c r="AG7" i="7"/>
  <c r="AE7" i="7"/>
  <c r="AC7" i="7"/>
  <c r="AA7" i="7"/>
  <c r="Y7" i="7"/>
  <c r="W7" i="7"/>
  <c r="U7" i="7"/>
  <c r="S7" i="7"/>
  <c r="Q7" i="7"/>
  <c r="O7" i="7"/>
  <c r="M7" i="7"/>
  <c r="K7" i="7"/>
  <c r="I7" i="7"/>
  <c r="AI6" i="7"/>
  <c r="AG6" i="7"/>
  <c r="AE6" i="7"/>
  <c r="AC6" i="7"/>
  <c r="AA6" i="7"/>
  <c r="Y6" i="7"/>
  <c r="W6" i="7"/>
  <c r="U6" i="7"/>
  <c r="S6" i="7"/>
  <c r="Q6" i="7"/>
  <c r="O6" i="7"/>
  <c r="M6" i="7"/>
  <c r="K6" i="7"/>
  <c r="I6" i="7"/>
  <c r="AI5" i="7"/>
  <c r="AG5" i="7"/>
  <c r="AE5" i="7"/>
  <c r="AC5" i="7"/>
  <c r="AA5" i="7"/>
  <c r="Y5" i="7"/>
  <c r="W5" i="7"/>
  <c r="U5" i="7"/>
  <c r="S5" i="7"/>
  <c r="Q5" i="7"/>
  <c r="O5" i="7"/>
  <c r="M5" i="7"/>
  <c r="K5" i="7"/>
  <c r="I5" i="7"/>
  <c r="AI4" i="7"/>
  <c r="AG4" i="7"/>
  <c r="AE4" i="7"/>
  <c r="AC4" i="7"/>
  <c r="AA4" i="7"/>
  <c r="Y4" i="7"/>
  <c r="W4" i="7"/>
  <c r="U4" i="7"/>
  <c r="S4" i="7"/>
  <c r="Q4" i="7"/>
  <c r="O4" i="7"/>
  <c r="M4" i="7"/>
  <c r="K4" i="7"/>
  <c r="I4" i="7"/>
  <c r="AI3" i="7"/>
  <c r="AG3" i="7"/>
  <c r="AE3" i="7"/>
  <c r="AC3" i="7"/>
  <c r="AA3" i="7"/>
  <c r="Y3" i="7"/>
  <c r="W3" i="7"/>
  <c r="U3" i="7"/>
  <c r="S3" i="7"/>
  <c r="Q3" i="7"/>
  <c r="O3" i="7"/>
  <c r="M3" i="7"/>
  <c r="K3" i="7"/>
  <c r="I3" i="7"/>
  <c r="AI2" i="7"/>
  <c r="AG2" i="7"/>
  <c r="AE2" i="7"/>
  <c r="AC2" i="7"/>
  <c r="AA2" i="7"/>
  <c r="Y2" i="7"/>
  <c r="W2" i="7"/>
  <c r="U2" i="7"/>
  <c r="S2" i="7"/>
  <c r="Q2" i="7"/>
  <c r="O2" i="7"/>
  <c r="M2" i="7"/>
  <c r="K2" i="7"/>
  <c r="I2" i="7"/>
  <c r="AI99" i="7"/>
  <c r="AG99" i="7"/>
  <c r="AE99" i="7"/>
  <c r="AC99" i="7"/>
  <c r="AA99" i="7"/>
  <c r="Y99" i="7"/>
  <c r="W99" i="7"/>
  <c r="U99" i="7"/>
  <c r="S99" i="7"/>
  <c r="Q99" i="7"/>
  <c r="O99" i="7"/>
  <c r="M99" i="7"/>
  <c r="K99" i="7"/>
  <c r="I99" i="7"/>
  <c r="AI98" i="7"/>
  <c r="AG98" i="7"/>
  <c r="AE98" i="7"/>
  <c r="AC98" i="7"/>
  <c r="AA98" i="7"/>
  <c r="Y98" i="7"/>
  <c r="W98" i="7"/>
  <c r="U98" i="7"/>
  <c r="S98" i="7"/>
  <c r="Q98" i="7"/>
  <c r="O98" i="7"/>
  <c r="M98" i="7"/>
  <c r="K98" i="7"/>
  <c r="I98" i="7"/>
  <c r="AI97" i="7"/>
  <c r="AG97" i="7"/>
  <c r="AE97" i="7"/>
  <c r="AC97" i="7"/>
  <c r="AA97" i="7"/>
  <c r="Y97" i="7"/>
  <c r="W97" i="7"/>
  <c r="U97" i="7"/>
  <c r="S97" i="7"/>
  <c r="Q97" i="7"/>
  <c r="O97" i="7"/>
  <c r="M97" i="7"/>
  <c r="K97" i="7"/>
  <c r="I97" i="7"/>
  <c r="AI96" i="7"/>
  <c r="AG96" i="7"/>
  <c r="AE96" i="7"/>
  <c r="AC96" i="7"/>
  <c r="AA96" i="7"/>
  <c r="Y96" i="7"/>
  <c r="W96" i="7"/>
  <c r="U96" i="7"/>
  <c r="S96" i="7"/>
  <c r="Q96" i="7"/>
  <c r="O96" i="7"/>
  <c r="M96" i="7"/>
  <c r="K96" i="7"/>
  <c r="I96" i="7"/>
  <c r="AI95" i="7"/>
  <c r="AG95" i="7"/>
  <c r="AE95" i="7"/>
  <c r="AC95" i="7"/>
  <c r="AA95" i="7"/>
  <c r="Y95" i="7"/>
  <c r="W95" i="7"/>
  <c r="U95" i="7"/>
  <c r="S95" i="7"/>
  <c r="Q95" i="7"/>
  <c r="O95" i="7"/>
  <c r="M95" i="7"/>
  <c r="K95" i="7"/>
  <c r="I95" i="7"/>
  <c r="AI94" i="7"/>
  <c r="AG94" i="7"/>
  <c r="AE94" i="7"/>
  <c r="AC94" i="7"/>
  <c r="AA94" i="7"/>
  <c r="Y94" i="7"/>
  <c r="W94" i="7"/>
  <c r="U94" i="7"/>
  <c r="S94" i="7"/>
  <c r="Q94" i="7"/>
  <c r="O94" i="7"/>
  <c r="M94" i="7"/>
  <c r="K94" i="7"/>
  <c r="I94" i="7"/>
  <c r="AI93" i="7"/>
  <c r="AG93" i="7"/>
  <c r="AE93" i="7"/>
  <c r="AC93" i="7"/>
  <c r="AA93" i="7"/>
  <c r="Y93" i="7"/>
  <c r="W93" i="7"/>
  <c r="U93" i="7"/>
  <c r="S93" i="7"/>
  <c r="Q93" i="7"/>
  <c r="O93" i="7"/>
  <c r="M93" i="7"/>
  <c r="K93" i="7"/>
  <c r="I93" i="7"/>
  <c r="AI92" i="7"/>
  <c r="AG92" i="7"/>
  <c r="AE92" i="7"/>
  <c r="AC92" i="7"/>
  <c r="AA92" i="7"/>
  <c r="Y92" i="7"/>
  <c r="W92" i="7"/>
  <c r="U92" i="7"/>
  <c r="S92" i="7"/>
  <c r="Q92" i="7"/>
  <c r="O92" i="7"/>
  <c r="M92" i="7"/>
  <c r="K92" i="7"/>
  <c r="I92" i="7"/>
  <c r="AI91" i="7"/>
  <c r="AG91" i="7"/>
  <c r="AE91" i="7"/>
  <c r="AC91" i="7"/>
  <c r="AA91" i="7"/>
  <c r="Y91" i="7"/>
  <c r="W91" i="7"/>
  <c r="U91" i="7"/>
  <c r="S91" i="7"/>
  <c r="Q91" i="7"/>
  <c r="O91" i="7"/>
  <c r="M91" i="7"/>
  <c r="K91" i="7"/>
  <c r="I91" i="7"/>
  <c r="AI90" i="7"/>
  <c r="AG90" i="7"/>
  <c r="AE90" i="7"/>
  <c r="AC90" i="7"/>
  <c r="AA90" i="7"/>
  <c r="Y90" i="7"/>
  <c r="W90" i="7"/>
  <c r="U90" i="7"/>
  <c r="S90" i="7"/>
  <c r="Q90" i="7"/>
  <c r="O90" i="7"/>
  <c r="M90" i="7"/>
  <c r="K90" i="7"/>
  <c r="I90" i="7"/>
  <c r="AI89" i="7"/>
  <c r="AG89" i="7"/>
  <c r="AE89" i="7"/>
  <c r="AC89" i="7"/>
  <c r="AA89" i="7"/>
  <c r="Y89" i="7"/>
  <c r="W89" i="7"/>
  <c r="U89" i="7"/>
  <c r="S89" i="7"/>
  <c r="Q89" i="7"/>
  <c r="O89" i="7"/>
  <c r="M89" i="7"/>
  <c r="K89" i="7"/>
  <c r="I89" i="7"/>
  <c r="AI88" i="7"/>
  <c r="AG88" i="7"/>
  <c r="AE88" i="7"/>
  <c r="AC88" i="7"/>
  <c r="AA88" i="7"/>
  <c r="Y88" i="7"/>
  <c r="W88" i="7"/>
  <c r="U88" i="7"/>
  <c r="S88" i="7"/>
  <c r="Q88" i="7"/>
  <c r="O88" i="7"/>
  <c r="M88" i="7"/>
  <c r="K88" i="7"/>
  <c r="I88" i="7"/>
  <c r="AI87" i="7"/>
  <c r="AG87" i="7"/>
  <c r="AE87" i="7"/>
  <c r="AC87" i="7"/>
  <c r="AA87" i="7"/>
  <c r="Y87" i="7"/>
  <c r="W87" i="7"/>
  <c r="U87" i="7"/>
  <c r="S87" i="7"/>
  <c r="Q87" i="7"/>
  <c r="O87" i="7"/>
  <c r="M87" i="7"/>
  <c r="K87" i="7"/>
  <c r="I87" i="7"/>
  <c r="AI86" i="7"/>
  <c r="AG86" i="7"/>
  <c r="AE86" i="7"/>
  <c r="AC86" i="7"/>
  <c r="AA86" i="7"/>
  <c r="Y86" i="7"/>
  <c r="W86" i="7"/>
  <c r="U86" i="7"/>
  <c r="S86" i="7"/>
  <c r="Q86" i="7"/>
  <c r="O86" i="7"/>
  <c r="M86" i="7"/>
  <c r="K86" i="7"/>
  <c r="I86" i="7"/>
  <c r="AI85" i="7"/>
  <c r="AG85" i="7"/>
  <c r="AE85" i="7"/>
  <c r="AC85" i="7"/>
  <c r="AA85" i="7"/>
  <c r="Y85" i="7"/>
  <c r="W85" i="7"/>
  <c r="U85" i="7"/>
  <c r="S85" i="7"/>
  <c r="Q85" i="7"/>
  <c r="O85" i="7"/>
  <c r="M85" i="7"/>
  <c r="K85" i="7"/>
  <c r="I85" i="7"/>
  <c r="AI84" i="7"/>
  <c r="AG84" i="7"/>
  <c r="AE84" i="7"/>
  <c r="AC84" i="7"/>
  <c r="AA84" i="7"/>
  <c r="Y84" i="7"/>
  <c r="W84" i="7"/>
  <c r="U84" i="7"/>
  <c r="S84" i="7"/>
  <c r="Q84" i="7"/>
  <c r="O84" i="7"/>
  <c r="M84" i="7"/>
  <c r="K84" i="7"/>
  <c r="I84" i="7"/>
  <c r="AI83" i="7"/>
  <c r="AG83" i="7"/>
  <c r="AE83" i="7"/>
  <c r="AC83" i="7"/>
  <c r="AA83" i="7"/>
  <c r="Y83" i="7"/>
  <c r="W83" i="7"/>
  <c r="U83" i="7"/>
  <c r="S83" i="7"/>
  <c r="Q83" i="7"/>
  <c r="O83" i="7"/>
  <c r="M83" i="7"/>
  <c r="K83" i="7"/>
  <c r="I83" i="7"/>
  <c r="AI82" i="7"/>
  <c r="AG82" i="7"/>
  <c r="AE82" i="7"/>
  <c r="AC82" i="7"/>
  <c r="AA82" i="7"/>
  <c r="Y82" i="7"/>
  <c r="W82" i="7"/>
  <c r="U82" i="7"/>
  <c r="S82" i="7"/>
  <c r="Q82" i="7"/>
  <c r="O82" i="7"/>
  <c r="M82" i="7"/>
  <c r="K82" i="7"/>
  <c r="I82" i="7"/>
  <c r="AI81" i="7"/>
  <c r="AG81" i="7"/>
  <c r="AE81" i="7"/>
  <c r="AC81" i="7"/>
  <c r="AA81" i="7"/>
  <c r="Y81" i="7"/>
  <c r="W81" i="7"/>
  <c r="U81" i="7"/>
  <c r="S81" i="7"/>
  <c r="Q81" i="7"/>
  <c r="O81" i="7"/>
  <c r="M81" i="7"/>
  <c r="K81" i="7"/>
  <c r="I81" i="7"/>
  <c r="AI80" i="7"/>
  <c r="AG80" i="7"/>
  <c r="AE80" i="7"/>
  <c r="AC80" i="7"/>
  <c r="AA80" i="7"/>
  <c r="Y80" i="7"/>
  <c r="W80" i="7"/>
  <c r="U80" i="7"/>
  <c r="S80" i="7"/>
  <c r="Q80" i="7"/>
  <c r="O80" i="7"/>
  <c r="M80" i="7"/>
  <c r="K80" i="7"/>
  <c r="I80" i="7"/>
  <c r="AI79" i="7"/>
  <c r="AG79" i="7"/>
  <c r="AE79" i="7"/>
  <c r="AC79" i="7"/>
  <c r="AA79" i="7"/>
  <c r="Y79" i="7"/>
  <c r="W79" i="7"/>
  <c r="U79" i="7"/>
  <c r="S79" i="7"/>
  <c r="Q79" i="7"/>
  <c r="O79" i="7"/>
  <c r="M79" i="7"/>
  <c r="K79" i="7"/>
  <c r="I79" i="7"/>
  <c r="AI78" i="7"/>
  <c r="AG78" i="7"/>
  <c r="AE78" i="7"/>
  <c r="AC78" i="7"/>
  <c r="AA78" i="7"/>
  <c r="Y78" i="7"/>
  <c r="W78" i="7"/>
  <c r="U78" i="7"/>
  <c r="S78" i="7"/>
  <c r="Q78" i="7"/>
  <c r="O78" i="7"/>
  <c r="M78" i="7"/>
  <c r="K78" i="7"/>
  <c r="I78" i="7"/>
  <c r="AI77" i="7"/>
  <c r="AG77" i="7"/>
  <c r="AE77" i="7"/>
  <c r="AC77" i="7"/>
  <c r="AA77" i="7"/>
  <c r="Y77" i="7"/>
  <c r="W77" i="7"/>
  <c r="U77" i="7"/>
  <c r="S77" i="7"/>
  <c r="Q77" i="7"/>
  <c r="O77" i="7"/>
  <c r="M77" i="7"/>
  <c r="K77" i="7"/>
  <c r="I77" i="7"/>
  <c r="AI76" i="7"/>
  <c r="AG76" i="7"/>
  <c r="AE76" i="7"/>
  <c r="AC76" i="7"/>
  <c r="AA76" i="7"/>
  <c r="Y76" i="7"/>
  <c r="W76" i="7"/>
  <c r="U76" i="7"/>
  <c r="S76" i="7"/>
  <c r="Q76" i="7"/>
  <c r="O76" i="7"/>
  <c r="M76" i="7"/>
  <c r="K76" i="7"/>
  <c r="I76" i="7"/>
  <c r="AI75" i="7"/>
  <c r="AG75" i="7"/>
  <c r="AE75" i="7"/>
  <c r="AC75" i="7"/>
  <c r="AA75" i="7"/>
  <c r="Y75" i="7"/>
  <c r="W75" i="7"/>
  <c r="U75" i="7"/>
  <c r="S75" i="7"/>
  <c r="Q75" i="7"/>
  <c r="O75" i="7"/>
  <c r="M75" i="7"/>
  <c r="K75" i="7"/>
  <c r="I75" i="7"/>
  <c r="AI74" i="7"/>
  <c r="AG74" i="7"/>
  <c r="AE74" i="7"/>
  <c r="AC74" i="7"/>
  <c r="AA74" i="7"/>
  <c r="Y74" i="7"/>
  <c r="W74" i="7"/>
  <c r="U74" i="7"/>
  <c r="S74" i="7"/>
  <c r="Q74" i="7"/>
  <c r="O74" i="7"/>
  <c r="M74" i="7"/>
  <c r="K74" i="7"/>
  <c r="I74" i="7"/>
  <c r="AI73" i="7"/>
  <c r="AG73" i="7"/>
  <c r="AE73" i="7"/>
  <c r="AC73" i="7"/>
  <c r="AA73" i="7"/>
  <c r="Y73" i="7"/>
  <c r="W73" i="7"/>
  <c r="U73" i="7"/>
  <c r="S73" i="7"/>
  <c r="Q73" i="7"/>
  <c r="O73" i="7"/>
  <c r="M73" i="7"/>
  <c r="K73" i="7"/>
  <c r="I73" i="7"/>
  <c r="AI72" i="7"/>
  <c r="AG72" i="7"/>
  <c r="AE72" i="7"/>
  <c r="AC72" i="7"/>
  <c r="AA72" i="7"/>
  <c r="Y72" i="7"/>
  <c r="W72" i="7"/>
  <c r="U72" i="7"/>
  <c r="S72" i="7"/>
  <c r="Q72" i="7"/>
  <c r="O72" i="7"/>
  <c r="M72" i="7"/>
  <c r="K72" i="7"/>
  <c r="I72" i="7"/>
  <c r="AI71" i="7"/>
  <c r="AG71" i="7"/>
  <c r="AE71" i="7"/>
  <c r="AC71" i="7"/>
  <c r="AA71" i="7"/>
  <c r="Y71" i="7"/>
  <c r="W71" i="7"/>
  <c r="U71" i="7"/>
  <c r="S71" i="7"/>
  <c r="Q71" i="7"/>
  <c r="O71" i="7"/>
  <c r="M71" i="7"/>
  <c r="K71" i="7"/>
  <c r="I71" i="7"/>
  <c r="AI70" i="7"/>
  <c r="AG70" i="7"/>
  <c r="AE70" i="7"/>
  <c r="AC70" i="7"/>
  <c r="AA70" i="7"/>
  <c r="Y70" i="7"/>
  <c r="W70" i="7"/>
  <c r="U70" i="7"/>
  <c r="S70" i="7"/>
  <c r="Q70" i="7"/>
  <c r="O70" i="7"/>
  <c r="M70" i="7"/>
  <c r="K70" i="7"/>
  <c r="I70" i="7"/>
  <c r="AI69" i="7"/>
  <c r="AG69" i="7"/>
  <c r="AE69" i="7"/>
  <c r="AC69" i="7"/>
  <c r="AA69" i="7"/>
  <c r="Y69" i="7"/>
  <c r="W69" i="7"/>
  <c r="U69" i="7"/>
  <c r="S69" i="7"/>
  <c r="Q69" i="7"/>
  <c r="O69" i="7"/>
  <c r="M69" i="7"/>
  <c r="K69" i="7"/>
  <c r="I69" i="7"/>
  <c r="AI68" i="7"/>
  <c r="AG68" i="7"/>
  <c r="AE68" i="7"/>
  <c r="AC68" i="7"/>
  <c r="AA68" i="7"/>
  <c r="Y68" i="7"/>
  <c r="W68" i="7"/>
  <c r="U68" i="7"/>
  <c r="S68" i="7"/>
  <c r="Q68" i="7"/>
  <c r="O68" i="7"/>
  <c r="M68" i="7"/>
  <c r="K68" i="7"/>
  <c r="I68" i="7"/>
  <c r="AI67" i="7"/>
  <c r="AG67" i="7"/>
  <c r="AE67" i="7"/>
  <c r="AC67" i="7"/>
  <c r="AA67" i="7"/>
  <c r="Y67" i="7"/>
  <c r="W67" i="7"/>
  <c r="U67" i="7"/>
  <c r="S67" i="7"/>
  <c r="Q67" i="7"/>
  <c r="O67" i="7"/>
  <c r="M67" i="7"/>
  <c r="K67" i="7"/>
  <c r="I67" i="7"/>
  <c r="AI66" i="7"/>
  <c r="AG66" i="7"/>
  <c r="AE66" i="7"/>
  <c r="AC66" i="7"/>
  <c r="AA66" i="7"/>
  <c r="Y66" i="7"/>
  <c r="W66" i="7"/>
  <c r="U66" i="7"/>
  <c r="S66" i="7"/>
  <c r="Q66" i="7"/>
  <c r="O66" i="7"/>
  <c r="M66" i="7"/>
  <c r="K66" i="7"/>
  <c r="I66" i="7"/>
  <c r="AI65" i="7"/>
  <c r="AG65" i="7"/>
  <c r="AE65" i="7"/>
  <c r="AC65" i="7"/>
  <c r="AA65" i="7"/>
  <c r="Y65" i="7"/>
  <c r="W65" i="7"/>
  <c r="U65" i="7"/>
  <c r="S65" i="7"/>
  <c r="Q65" i="7"/>
  <c r="O65" i="7"/>
  <c r="M65" i="7"/>
  <c r="K65" i="7"/>
  <c r="I65" i="7"/>
  <c r="AI64" i="7"/>
  <c r="AG64" i="7"/>
  <c r="AE64" i="7"/>
  <c r="AC64" i="7"/>
  <c r="AA64" i="7"/>
  <c r="Y64" i="7"/>
  <c r="W64" i="7"/>
  <c r="U64" i="7"/>
  <c r="S64" i="7"/>
  <c r="Q64" i="7"/>
  <c r="O64" i="7"/>
  <c r="M64" i="7"/>
  <c r="K64" i="7"/>
  <c r="I64" i="7"/>
  <c r="AI63" i="7"/>
  <c r="AG63" i="7"/>
  <c r="AE63" i="7"/>
  <c r="AC63" i="7"/>
  <c r="AA63" i="7"/>
  <c r="Y63" i="7"/>
  <c r="W63" i="7"/>
  <c r="U63" i="7"/>
  <c r="S63" i="7"/>
  <c r="Q63" i="7"/>
  <c r="O63" i="7"/>
  <c r="M63" i="7"/>
  <c r="K63" i="7"/>
  <c r="I63" i="7"/>
  <c r="AI62" i="7"/>
  <c r="AG62" i="7"/>
  <c r="AE62" i="7"/>
  <c r="AC62" i="7"/>
  <c r="AA62" i="7"/>
  <c r="Y62" i="7"/>
  <c r="W62" i="7"/>
  <c r="U62" i="7"/>
  <c r="S62" i="7"/>
  <c r="Q62" i="7"/>
  <c r="O62" i="7"/>
  <c r="M62" i="7"/>
  <c r="K62" i="7"/>
  <c r="I62" i="7"/>
  <c r="AI61" i="7"/>
  <c r="AG61" i="7"/>
  <c r="AE61" i="7"/>
  <c r="AC61" i="7"/>
  <c r="AA61" i="7"/>
  <c r="Y61" i="7"/>
  <c r="W61" i="7"/>
  <c r="U61" i="7"/>
  <c r="S61" i="7"/>
  <c r="Q61" i="7"/>
  <c r="O61" i="7"/>
  <c r="M61" i="7"/>
  <c r="K61" i="7"/>
  <c r="I61" i="7"/>
  <c r="AI60" i="7"/>
  <c r="AG60" i="7"/>
  <c r="AE60" i="7"/>
  <c r="AC60" i="7"/>
  <c r="AA60" i="7"/>
  <c r="Y60" i="7"/>
  <c r="W60" i="7"/>
  <c r="U60" i="7"/>
  <c r="S60" i="7"/>
  <c r="Q60" i="7"/>
  <c r="O60" i="7"/>
  <c r="M60" i="7"/>
  <c r="K60" i="7"/>
  <c r="I60" i="7"/>
  <c r="AI59" i="7"/>
  <c r="AG59" i="7"/>
  <c r="AE59" i="7"/>
  <c r="AC59" i="7"/>
  <c r="AA59" i="7"/>
  <c r="Y59" i="7"/>
  <c r="W59" i="7"/>
  <c r="U59" i="7"/>
  <c r="S59" i="7"/>
  <c r="Q59" i="7"/>
  <c r="O59" i="7"/>
  <c r="M59" i="7"/>
  <c r="K59" i="7"/>
  <c r="I59" i="7"/>
  <c r="AI58" i="7"/>
  <c r="AG58" i="7"/>
  <c r="AE58" i="7"/>
  <c r="AC58" i="7"/>
  <c r="AA58" i="7"/>
  <c r="Y58" i="7"/>
  <c r="W58" i="7"/>
  <c r="U58" i="7"/>
  <c r="S58" i="7"/>
  <c r="Q58" i="7"/>
  <c r="O58" i="7"/>
  <c r="M58" i="7"/>
  <c r="K58" i="7"/>
  <c r="I58" i="7"/>
  <c r="AI57" i="7"/>
  <c r="AG57" i="7"/>
  <c r="AE57" i="7"/>
  <c r="AC57" i="7"/>
  <c r="AA57" i="7"/>
  <c r="Y57" i="7"/>
  <c r="W57" i="7"/>
  <c r="U57" i="7"/>
  <c r="S57" i="7"/>
  <c r="Q57" i="7"/>
  <c r="O57" i="7"/>
  <c r="M57" i="7"/>
  <c r="K57" i="7"/>
  <c r="I57" i="7"/>
  <c r="AI56" i="7"/>
  <c r="AG56" i="7"/>
  <c r="AE56" i="7"/>
  <c r="AC56" i="7"/>
  <c r="AA56" i="7"/>
  <c r="Y56" i="7"/>
  <c r="W56" i="7"/>
  <c r="U56" i="7"/>
  <c r="S56" i="7"/>
  <c r="Q56" i="7"/>
  <c r="O56" i="7"/>
  <c r="M56" i="7"/>
  <c r="K56" i="7"/>
  <c r="I56" i="7"/>
  <c r="AI55" i="7"/>
  <c r="AG55" i="7"/>
  <c r="AE55" i="7"/>
  <c r="AC55" i="7"/>
  <c r="AA55" i="7"/>
  <c r="Y55" i="7"/>
  <c r="W55" i="7"/>
  <c r="U55" i="7"/>
  <c r="S55" i="7"/>
  <c r="Q55" i="7"/>
  <c r="O55" i="7"/>
  <c r="M55" i="7"/>
  <c r="K55" i="7"/>
  <c r="I55" i="7"/>
  <c r="AI54" i="7"/>
  <c r="AG54" i="7"/>
  <c r="AE54" i="7"/>
  <c r="AC54" i="7"/>
  <c r="AA54" i="7"/>
  <c r="Y54" i="7"/>
  <c r="W54" i="7"/>
  <c r="U54" i="7"/>
  <c r="S54" i="7"/>
  <c r="Q54" i="7"/>
  <c r="O54" i="7"/>
  <c r="M54" i="7"/>
  <c r="K54" i="7"/>
  <c r="I54" i="7"/>
  <c r="AI53" i="7"/>
  <c r="AG53" i="7"/>
  <c r="AE53" i="7"/>
  <c r="AC53" i="7"/>
  <c r="AA53" i="7"/>
  <c r="Y53" i="7"/>
  <c r="W53" i="7"/>
  <c r="U53" i="7"/>
  <c r="S53" i="7"/>
  <c r="Q53" i="7"/>
  <c r="O53" i="7"/>
  <c r="M53" i="7"/>
  <c r="K53" i="7"/>
  <c r="I53" i="7"/>
  <c r="AI52" i="7"/>
  <c r="AG52" i="7"/>
  <c r="AE52" i="7"/>
  <c r="AC52" i="7"/>
  <c r="AA52" i="7"/>
  <c r="Y52" i="7"/>
  <c r="W52" i="7"/>
  <c r="U52" i="7"/>
  <c r="S52" i="7"/>
  <c r="Q52" i="7"/>
  <c r="O52" i="7"/>
  <c r="M52" i="7"/>
  <c r="K52" i="7"/>
  <c r="I52" i="7"/>
  <c r="AI51" i="7"/>
  <c r="AG51" i="7"/>
  <c r="AE51" i="7"/>
  <c r="AC51" i="7"/>
  <c r="AA51" i="7"/>
  <c r="Y51" i="7"/>
  <c r="W51" i="7"/>
  <c r="U51" i="7"/>
  <c r="S51" i="7"/>
  <c r="Q51" i="7"/>
  <c r="O51" i="7"/>
  <c r="M51" i="7"/>
  <c r="K51" i="7"/>
  <c r="I51" i="7"/>
</calcChain>
</file>

<file path=xl/sharedStrings.xml><?xml version="1.0" encoding="utf-8"?>
<sst xmlns="http://schemas.openxmlformats.org/spreadsheetml/2006/main" count="2383" uniqueCount="67">
  <si>
    <t>Crop</t>
  </si>
  <si>
    <t>Posizione</t>
  </si>
  <si>
    <t>Vineyard</t>
  </si>
  <si>
    <t>Fila</t>
  </si>
  <si>
    <t>0 - 10</t>
  </si>
  <si>
    <t>10 - 20</t>
  </si>
  <si>
    <t>20 - 40</t>
  </si>
  <si>
    <t>Interfila</t>
  </si>
  <si>
    <t>Wheat</t>
  </si>
  <si>
    <t>0 - 20</t>
  </si>
  <si>
    <t>0 -20</t>
  </si>
  <si>
    <t>TKN_kgha</t>
  </si>
  <si>
    <t>Cu_kgha</t>
  </si>
  <si>
    <t>Fe_kgha</t>
  </si>
  <si>
    <t>Zn_kgha</t>
  </si>
  <si>
    <t>Layer</t>
  </si>
  <si>
    <t>Depth (cm)</t>
  </si>
  <si>
    <t>TKN_PercSS</t>
  </si>
  <si>
    <t>Cu_mgkgSS</t>
  </si>
  <si>
    <t>Fe_mgkgSS</t>
  </si>
  <si>
    <t>Zn_mgkgSS</t>
  </si>
  <si>
    <t>Ctot_PercSS</t>
  </si>
  <si>
    <t>Corg_PercSS</t>
  </si>
  <si>
    <t>Bulk_Density_Mgha</t>
  </si>
  <si>
    <t>Ctot_Mgha</t>
  </si>
  <si>
    <t>Corg_Mgha</t>
  </si>
  <si>
    <t>IC_Nitrati_mgkgSS</t>
  </si>
  <si>
    <t>IC_Nitrati_kgha</t>
  </si>
  <si>
    <t>IC_Solfati_mgkgSS</t>
  </si>
  <si>
    <t>IC_Solfati_kgha</t>
  </si>
  <si>
    <t>IC_Potassio_mgkgSS</t>
  </si>
  <si>
    <t>IC_Potassio_kgha</t>
  </si>
  <si>
    <t>IC_Fosfati_mgkgSS</t>
  </si>
  <si>
    <t>IC_Fosfati_kgha</t>
  </si>
  <si>
    <t>ICPCa_mgkgSS</t>
  </si>
  <si>
    <t>ICPCa_kgha</t>
  </si>
  <si>
    <t>ICPK_mgkgSS</t>
  </si>
  <si>
    <t>ICPK_kgha</t>
  </si>
  <si>
    <t>ICPMg_mgkgSS</t>
  </si>
  <si>
    <t>ICPMg_kgha</t>
  </si>
  <si>
    <t>ICPNa_mgkgSS</t>
  </si>
  <si>
    <t>ICPNa_kgha</t>
  </si>
  <si>
    <t>SamplingPoint</t>
  </si>
  <si>
    <t>Primo</t>
  </si>
  <si>
    <t>Secondo</t>
  </si>
  <si>
    <t>Terzo</t>
  </si>
  <si>
    <t>Quarto</t>
  </si>
  <si>
    <t>Quinto</t>
  </si>
  <si>
    <t>Sesto</t>
  </si>
  <si>
    <t>Settimo</t>
  </si>
  <si>
    <t>VineRow</t>
  </si>
  <si>
    <t>Uno</t>
  </si>
  <si>
    <t>Due</t>
  </si>
  <si>
    <t>Tre</t>
  </si>
  <si>
    <t>Quattro</t>
  </si>
  <si>
    <t>Cinque</t>
  </si>
  <si>
    <t>Sei</t>
  </si>
  <si>
    <t>Sette</t>
  </si>
  <si>
    <t>Transect</t>
  </si>
  <si>
    <t>Otto</t>
  </si>
  <si>
    <t>Nove</t>
  </si>
  <si>
    <t>Dieci</t>
  </si>
  <si>
    <t>Undici</t>
  </si>
  <si>
    <t>First</t>
  </si>
  <si>
    <t>Second</t>
  </si>
  <si>
    <t>Third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</si>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</sst>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6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7" fontId="0" fillId="0" borderId="1" xfId="0" quotePrefix="1" applyNumberFormat="1" applyBorder="1"/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5" fontId="0" fillId="2" borderId="0" xfId="0" applyNumberFormat="1" applyFill="1" applyAlignment="1">
      <alignment horizontal="right"/>
    </xf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18AB-F767-4F54-8CC2-CE0F5863DD74}">
  <dimension ref="A1:BH113"/>
  <sheetViews>
    <sheetView tabSelected="1" topLeftCell="B1" zoomScale="85" zoomScaleNormal="85" workbookViewId="0">
      <selection activeCell="T17" sqref="T17"/>
    </sheetView>
  </sheetViews>
  <sheetFormatPr defaultColWidth="10.86328125" defaultRowHeight="14.25" x14ac:dyDescent="0.45"/>
  <cols>
    <col min="1" max="1" width="8.265625" style="16" bestFit="1" customWidth="1"/>
    <col min="2" max="2" width="13.86328125" style="16" bestFit="1" customWidth="1"/>
    <col min="3" max="3" width="17.265625" style="16" bestFit="1" customWidth="1"/>
    <col min="4" max="5" width="17.265625" style="16" customWidth="1"/>
    <col min="6" max="6" width="17.265625" style="16" bestFit="1" customWidth="1"/>
    <col min="7" max="7" width="11.3984375" style="16" bestFit="1" customWidth="1"/>
    <col min="8" max="8" width="12.1328125" style="16" bestFit="1" customWidth="1"/>
    <col min="9" max="9" width="15.1328125" style="16" bestFit="1" customWidth="1"/>
    <col min="10" max="10" width="11.1328125" style="16" bestFit="1" customWidth="1"/>
    <col min="11" max="11" width="10.73046875" style="16" bestFit="1" customWidth="1"/>
    <col min="12" max="12" width="11" style="16" bestFit="1" customWidth="1"/>
    <col min="13" max="13" width="10.86328125" style="16" bestFit="1" customWidth="1"/>
    <col min="14" max="14" width="11.1328125" style="16" bestFit="1" customWidth="1"/>
    <col min="15" max="15" width="11.59765625" style="16" bestFit="1" customWidth="1"/>
    <col min="16" max="16" width="12.86328125" style="16" bestFit="1" customWidth="1"/>
    <col min="17" max="17" width="12.1328125" style="16" bestFit="1" customWidth="1"/>
    <col min="18" max="18" width="13.1328125" style="16" bestFit="1" customWidth="1"/>
    <col min="19" max="20" width="16.265625" style="16" bestFit="1" customWidth="1"/>
    <col min="21" max="22" width="16.73046875" style="16" bestFit="1" customWidth="1"/>
    <col min="23" max="24" width="18.73046875" style="16" bestFit="1" customWidth="1"/>
    <col min="25" max="26" width="16.73046875" style="16" bestFit="1" customWidth="1"/>
    <col min="27" max="27" width="10.265625" bestFit="1" customWidth="1"/>
    <col min="28" max="28" width="10.86328125" bestFit="1" customWidth="1"/>
    <col min="29" max="29" width="9.59765625" bestFit="1" customWidth="1"/>
    <col min="30" max="30" width="10" bestFit="1" customWidth="1"/>
    <col min="31" max="31" width="10.86328125" style="16" bestFit="1" customWidth="1"/>
    <col min="32" max="32" width="11.1328125" style="16" bestFit="1" customWidth="1"/>
    <col min="33" max="33" width="12.1328125" style="16" bestFit="1" customWidth="1"/>
    <col min="34" max="34" width="11.1328125" style="16" bestFit="1" customWidth="1"/>
    <col min="35" max="41" width="10.86328125" style="16"/>
    <col min="42" max="42" width="10.86328125" style="9"/>
    <col min="43" max="43" width="10.86328125" style="8"/>
    <col min="44" max="54" width="10.86328125" style="16"/>
    <col min="55" max="60" width="10.86328125" style="17"/>
    <col min="61" max="16384" width="10.86328125" style="16"/>
  </cols>
  <sheetData>
    <row r="1" spans="1:34" s="8" customFormat="1" x14ac:dyDescent="0.45">
      <c r="A1" s="1" t="s">
        <v>0</v>
      </c>
      <c r="B1" s="1" t="s">
        <v>16</v>
      </c>
      <c r="C1" s="2" t="s">
        <v>15</v>
      </c>
      <c r="D1" s="2" t="s">
        <v>42</v>
      </c>
      <c r="E1" s="2" t="s">
        <v>58</v>
      </c>
      <c r="F1" s="2" t="s">
        <v>23</v>
      </c>
      <c r="G1" s="3" t="s">
        <v>17</v>
      </c>
      <c r="H1" s="3" t="s">
        <v>11</v>
      </c>
      <c r="I1" s="4" t="s">
        <v>18</v>
      </c>
      <c r="J1" s="4" t="s">
        <v>12</v>
      </c>
      <c r="K1" s="5" t="s">
        <v>19</v>
      </c>
      <c r="L1" s="5" t="s">
        <v>13</v>
      </c>
      <c r="M1" s="4" t="s">
        <v>20</v>
      </c>
      <c r="N1" s="4" t="s">
        <v>14</v>
      </c>
      <c r="O1" s="6" t="s">
        <v>21</v>
      </c>
      <c r="P1" s="6" t="s">
        <v>24</v>
      </c>
      <c r="Q1" s="6" t="s">
        <v>22</v>
      </c>
      <c r="R1" s="6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20" t="s">
        <v>34</v>
      </c>
      <c r="AB1" s="20" t="s">
        <v>35</v>
      </c>
      <c r="AC1" s="20" t="s">
        <v>36</v>
      </c>
      <c r="AD1" s="20" t="s">
        <v>37</v>
      </c>
      <c r="AE1" s="20" t="s">
        <v>38</v>
      </c>
      <c r="AF1" s="20" t="s">
        <v>39</v>
      </c>
      <c r="AG1" s="20" t="s">
        <v>40</v>
      </c>
      <c r="AH1" s="20" t="s">
        <v>41</v>
      </c>
    </row>
    <row r="2" spans="1:34" x14ac:dyDescent="0.45">
      <c r="A2" s="11" t="s">
        <v>8</v>
      </c>
      <c r="B2" s="10" t="s">
        <v>6</v>
      </c>
      <c r="C2" s="29" t="s">
        <v>65</v>
      </c>
      <c r="D2" s="29" t="s">
        <v>51</v>
      </c>
      <c r="E2" s="29" t="s">
        <v>43</v>
      </c>
      <c r="F2" s="12">
        <v>1.5329753593952475</v>
      </c>
      <c r="G2" s="25">
        <v>0.12604780067360999</v>
      </c>
      <c r="H2" s="19">
        <f t="shared" ref="H2:H8" si="0">F2*0.2*10000*G2/100*1000</f>
        <v>3864.5634507721566</v>
      </c>
      <c r="I2" s="15">
        <v>47.851312873264042</v>
      </c>
      <c r="J2" s="15">
        <f t="shared" ref="J2:J8" si="1">F2*0.2*10000*1000*I2/1000000</f>
        <v>146.70976709885278</v>
      </c>
      <c r="K2" s="26">
        <v>28196.454994418542</v>
      </c>
      <c r="L2" s="15">
        <f t="shared" ref="L2:L8" si="2">F2*0.2*10000*1000*K2/1000000</f>
        <v>86448.9414574814</v>
      </c>
      <c r="M2" s="15">
        <v>92.763581577728758</v>
      </c>
      <c r="N2" s="15">
        <f t="shared" ref="N2:N8" si="3">F2*0.2*10000*1000*M2/1000000</f>
        <v>284.40856961581824</v>
      </c>
      <c r="O2" s="27">
        <v>4.1914902877940783</v>
      </c>
      <c r="P2" s="19">
        <f t="shared" ref="P2:P8" si="4">F2*0.2*10000*O2/100</f>
        <v>128.50902660665636</v>
      </c>
      <c r="Q2" s="27">
        <v>1.2280153143416062</v>
      </c>
      <c r="R2" s="19">
        <f t="shared" ref="R2:R8" si="5">F2*0.2*10000*Q2/100</f>
        <v>37.650344356913841</v>
      </c>
      <c r="S2" s="27">
        <v>16.460943817728619</v>
      </c>
      <c r="T2" s="15">
        <f t="shared" ref="T2:T8" si="6">F2*0.2*10000*1000*S2/1000000</f>
        <v>50.468442529935025</v>
      </c>
      <c r="U2" s="27">
        <v>9.3333468658108352</v>
      </c>
      <c r="V2" s="15">
        <f t="shared" ref="V2:V33" si="7">F2*0.2*10000*1000*U2/1000000</f>
        <v>28.615581531953751</v>
      </c>
      <c r="W2" s="27">
        <v>26.025100390596055</v>
      </c>
      <c r="X2" s="15">
        <f t="shared" ref="X2:X33" si="8">F2*0.2*10000*1000*W2/1000000</f>
        <v>79.791675249142784</v>
      </c>
      <c r="Y2" s="27">
        <v>6.7168017186823414</v>
      </c>
      <c r="Z2" s="15">
        <f t="shared" ref="Z2:Z33" si="9">F2*0.2*10000*1000*Y2/1000000</f>
        <v>20.593383057367362</v>
      </c>
      <c r="AA2" s="24">
        <v>2862.214169372673</v>
      </c>
      <c r="AB2" s="15">
        <f t="shared" ref="AB2:AB33" si="10">F2*0.2*10000*1000*AA2/1000000</f>
        <v>8775.407589920489</v>
      </c>
      <c r="AC2" s="24">
        <v>203.3578460311262</v>
      </c>
      <c r="AD2" s="15">
        <f t="shared" ref="AD2:AD33" si="11">F2*0.2*10000*1000*AC2/1000000</f>
        <v>623.48513421081827</v>
      </c>
      <c r="AE2" s="24">
        <v>330.69406737771925</v>
      </c>
      <c r="AF2" s="15">
        <f t="shared" ref="AF2:AF33" si="12">F2*0.2*10000*1000*AE2/1000000</f>
        <v>1013.8917135764709</v>
      </c>
      <c r="AG2" s="24">
        <v>10.262919332411977</v>
      </c>
      <c r="AH2" s="15">
        <f t="shared" ref="AH2:AH33" si="13">F2*0.2*10000*1000*AG2/1000000</f>
        <v>31.465604904097379</v>
      </c>
    </row>
    <row r="3" spans="1:34" x14ac:dyDescent="0.45">
      <c r="A3" s="11" t="s">
        <v>8</v>
      </c>
      <c r="B3" s="10" t="s">
        <v>6</v>
      </c>
      <c r="C3" s="29" t="s">
        <v>65</v>
      </c>
      <c r="D3" s="29" t="s">
        <v>52</v>
      </c>
      <c r="E3" s="29" t="s">
        <v>43</v>
      </c>
      <c r="F3" s="12">
        <v>1.5329753593952475</v>
      </c>
      <c r="G3" s="25">
        <v>0.10784548865155374</v>
      </c>
      <c r="H3" s="19">
        <f t="shared" si="0"/>
        <v>3306.4895344954348</v>
      </c>
      <c r="I3" s="15">
        <v>29.734377081670786</v>
      </c>
      <c r="J3" s="15">
        <f t="shared" si="1"/>
        <v>91.164134786336177</v>
      </c>
      <c r="K3" s="26">
        <v>26781.305385203483</v>
      </c>
      <c r="L3" s="15">
        <f t="shared" si="2"/>
        <v>82110.162495912402</v>
      </c>
      <c r="M3" s="15">
        <v>86.861039899538298</v>
      </c>
      <c r="N3" s="15">
        <f t="shared" si="3"/>
        <v>266.31166771487938</v>
      </c>
      <c r="O3" s="27">
        <v>3.8414778588348679</v>
      </c>
      <c r="P3" s="19">
        <f t="shared" si="4"/>
        <v>117.77781802512538</v>
      </c>
      <c r="Q3" s="27">
        <v>0.99593870414237329</v>
      </c>
      <c r="R3" s="19">
        <f t="shared" si="5"/>
        <v>30.53498985836584</v>
      </c>
      <c r="S3" s="27">
        <v>13.197596391196448</v>
      </c>
      <c r="T3" s="15">
        <f t="shared" si="6"/>
        <v>40.463180141895606</v>
      </c>
      <c r="U3" s="27">
        <v>3.6318177813568511</v>
      </c>
      <c r="V3" s="15">
        <f t="shared" si="7"/>
        <v>11.134974337267142</v>
      </c>
      <c r="W3" s="27">
        <v>11.877830284929374</v>
      </c>
      <c r="X3" s="15">
        <f t="shared" si="8"/>
        <v>36.416842299750734</v>
      </c>
      <c r="Y3" s="27">
        <v>5.8545696475424638</v>
      </c>
      <c r="Z3" s="15">
        <f t="shared" si="9"/>
        <v>17.949822019091837</v>
      </c>
      <c r="AA3" s="24">
        <v>2659.8468694404842</v>
      </c>
      <c r="AB3" s="15">
        <f t="shared" si="10"/>
        <v>8154.9594212337024</v>
      </c>
      <c r="AC3" s="24">
        <v>111.36383086584725</v>
      </c>
      <c r="AD3" s="15">
        <f t="shared" si="11"/>
        <v>341.43601729040762</v>
      </c>
      <c r="AE3" s="24">
        <v>335.01185483610243</v>
      </c>
      <c r="AF3" s="15">
        <f t="shared" si="12"/>
        <v>1027.1298371380856</v>
      </c>
      <c r="AG3" s="24">
        <v>15.001904488539752</v>
      </c>
      <c r="AH3" s="15">
        <f t="shared" si="13"/>
        <v>45.995099849864815</v>
      </c>
    </row>
    <row r="4" spans="1:34" x14ac:dyDescent="0.45">
      <c r="A4" s="11" t="s">
        <v>8</v>
      </c>
      <c r="B4" s="10" t="s">
        <v>6</v>
      </c>
      <c r="C4" s="29" t="s">
        <v>65</v>
      </c>
      <c r="D4" s="29" t="s">
        <v>53</v>
      </c>
      <c r="E4" s="29" t="s">
        <v>43</v>
      </c>
      <c r="F4" s="12">
        <v>1.5329753593952475</v>
      </c>
      <c r="G4" s="25">
        <v>0.13018708621259295</v>
      </c>
      <c r="H4" s="19">
        <f t="shared" si="0"/>
        <v>3991.4719055073961</v>
      </c>
      <c r="I4" s="15">
        <v>36.490175750399125</v>
      </c>
      <c r="J4" s="15">
        <f t="shared" si="1"/>
        <v>111.87708057072773</v>
      </c>
      <c r="K4" s="26">
        <v>26547.627863352169</v>
      </c>
      <c r="L4" s="15">
        <f t="shared" si="2"/>
        <v>81393.718729827175</v>
      </c>
      <c r="M4" s="15">
        <v>86.202915185633884</v>
      </c>
      <c r="N4" s="15">
        <f t="shared" si="3"/>
        <v>264.29388977523035</v>
      </c>
      <c r="O4" s="27">
        <v>4.8956121791079852</v>
      </c>
      <c r="P4" s="19">
        <f t="shared" si="4"/>
        <v>150.09705679455632</v>
      </c>
      <c r="Q4" s="27">
        <v>1.2444728438488788</v>
      </c>
      <c r="R4" s="19">
        <f t="shared" si="5"/>
        <v>38.154924101137219</v>
      </c>
      <c r="S4" s="27">
        <v>14.623921882096417</v>
      </c>
      <c r="T4" s="15">
        <f t="shared" si="6"/>
        <v>44.836223805949565</v>
      </c>
      <c r="U4" s="27">
        <v>5.4051335803243381</v>
      </c>
      <c r="V4" s="15">
        <f t="shared" si="7"/>
        <v>16.57187318575405</v>
      </c>
      <c r="W4" s="27">
        <v>28.72009681734508</v>
      </c>
      <c r="X4" s="15">
        <f t="shared" si="8"/>
        <v>88.054401480871775</v>
      </c>
      <c r="Y4" s="27">
        <v>15.884087824490791</v>
      </c>
      <c r="Z4" s="15">
        <f t="shared" si="9"/>
        <v>48.699830482828901</v>
      </c>
      <c r="AA4" s="24">
        <v>2514.552988583162</v>
      </c>
      <c r="AB4" s="15">
        <f t="shared" si="10"/>
        <v>7709.4955427833347</v>
      </c>
      <c r="AC4" s="24">
        <v>211.99486798572568</v>
      </c>
      <c r="AD4" s="15">
        <f t="shared" si="11"/>
        <v>649.96581788073195</v>
      </c>
      <c r="AE4" s="24">
        <v>306.44802698926685</v>
      </c>
      <c r="AF4" s="15">
        <f t="shared" si="12"/>
        <v>939.55454861967189</v>
      </c>
      <c r="AG4" s="24">
        <v>15.322401349463341</v>
      </c>
      <c r="AH4" s="15">
        <f t="shared" si="13"/>
        <v>46.977727430983599</v>
      </c>
    </row>
    <row r="5" spans="1:34" x14ac:dyDescent="0.45">
      <c r="A5" s="11" t="s">
        <v>8</v>
      </c>
      <c r="B5" s="10" t="s">
        <v>6</v>
      </c>
      <c r="C5" s="29" t="s">
        <v>65</v>
      </c>
      <c r="D5" s="29" t="s">
        <v>54</v>
      </c>
      <c r="E5" s="29" t="s">
        <v>43</v>
      </c>
      <c r="F5" s="12">
        <v>1.3065264569402053</v>
      </c>
      <c r="G5" s="25">
        <v>0.11014640845923196</v>
      </c>
      <c r="H5" s="19">
        <f t="shared" si="0"/>
        <v>2878.1839357785798</v>
      </c>
      <c r="I5" s="15">
        <v>30.273271942491313</v>
      </c>
      <c r="J5" s="15">
        <f t="shared" si="1"/>
        <v>79.105661462021018</v>
      </c>
      <c r="K5" s="26">
        <v>25552.693944679108</v>
      </c>
      <c r="L5" s="15">
        <f t="shared" si="2"/>
        <v>66770.541369638071</v>
      </c>
      <c r="M5" s="15">
        <v>80.147204701985487</v>
      </c>
      <c r="N5" s="15">
        <f t="shared" si="3"/>
        <v>209.42888678589296</v>
      </c>
      <c r="O5" s="27">
        <v>4.3935240395724762</v>
      </c>
      <c r="P5" s="19">
        <f t="shared" si="4"/>
        <v>114.80510793808493</v>
      </c>
      <c r="Q5" s="27">
        <v>1.1860452219503164</v>
      </c>
      <c r="R5" s="19">
        <f t="shared" si="5"/>
        <v>30.991989232112129</v>
      </c>
      <c r="S5" s="27">
        <v>18.555917642714732</v>
      </c>
      <c r="T5" s="15">
        <f t="shared" si="6"/>
        <v>48.487594666020662</v>
      </c>
      <c r="U5" s="27">
        <v>9.7267788082542843</v>
      </c>
      <c r="V5" s="15">
        <f t="shared" si="7"/>
        <v>25.41658770757909</v>
      </c>
      <c r="W5" s="27">
        <v>24.474128807461113</v>
      </c>
      <c r="X5" s="15">
        <f t="shared" si="8"/>
        <v>63.952193595020773</v>
      </c>
      <c r="Y5" s="27">
        <v>7.2581001563494425</v>
      </c>
      <c r="Z5" s="15">
        <f t="shared" si="9"/>
        <v>18.96579976278478</v>
      </c>
      <c r="AA5" s="24">
        <v>2564.4757056551152</v>
      </c>
      <c r="AB5" s="15">
        <f t="shared" si="10"/>
        <v>6701.1107152376226</v>
      </c>
      <c r="AC5" s="24">
        <v>183.46017229164593</v>
      </c>
      <c r="AD5" s="15">
        <f t="shared" si="11"/>
        <v>479.39113778768768</v>
      </c>
      <c r="AE5" s="24">
        <v>287.58621602474221</v>
      </c>
      <c r="AF5" s="15">
        <f t="shared" si="12"/>
        <v>751.47799977529405</v>
      </c>
      <c r="AG5" s="24">
        <v>10.015933730516887</v>
      </c>
      <c r="AH5" s="15">
        <f t="shared" si="13"/>
        <v>26.172164819760248</v>
      </c>
    </row>
    <row r="6" spans="1:34" x14ac:dyDescent="0.45">
      <c r="A6" s="11" t="s">
        <v>8</v>
      </c>
      <c r="B6" s="10" t="s">
        <v>6</v>
      </c>
      <c r="C6" s="29" t="s">
        <v>65</v>
      </c>
      <c r="D6" s="29" t="s">
        <v>55</v>
      </c>
      <c r="E6" s="29" t="s">
        <v>43</v>
      </c>
      <c r="F6" s="12">
        <v>1.3065264569402053</v>
      </c>
      <c r="G6" s="25">
        <v>0.1206339062038434</v>
      </c>
      <c r="H6" s="19">
        <f t="shared" si="0"/>
        <v>3152.2278011872918</v>
      </c>
      <c r="I6" s="15">
        <v>44.902536706763321</v>
      </c>
      <c r="J6" s="15">
        <f t="shared" si="1"/>
        <v>117.33270438223002</v>
      </c>
      <c r="K6" s="26">
        <v>27505.233523839866</v>
      </c>
      <c r="L6" s="15">
        <f t="shared" si="2"/>
        <v>71872.630606430917</v>
      </c>
      <c r="M6" s="15">
        <v>89.319115224059502</v>
      </c>
      <c r="N6" s="15">
        <f t="shared" si="3"/>
        <v>233.39557430144885</v>
      </c>
      <c r="O6" s="27">
        <v>4.1558580651729651</v>
      </c>
      <c r="P6" s="19">
        <f t="shared" si="4"/>
        <v>108.59477026873623</v>
      </c>
      <c r="Q6" s="27">
        <v>1.1027829755250127</v>
      </c>
      <c r="R6" s="19">
        <f t="shared" si="5"/>
        <v>28.816302675733439</v>
      </c>
      <c r="S6" s="27">
        <v>13.254218042802441</v>
      </c>
      <c r="T6" s="15">
        <f t="shared" si="6"/>
        <v>34.633973077951239</v>
      </c>
      <c r="U6" s="27">
        <v>7.851442158332592</v>
      </c>
      <c r="V6" s="15">
        <f t="shared" si="7"/>
        <v>20.516233809994482</v>
      </c>
      <c r="W6" s="27">
        <v>22.371511812184028</v>
      </c>
      <c r="X6" s="15">
        <f t="shared" si="8"/>
        <v>58.457944128737509</v>
      </c>
      <c r="Y6" s="27">
        <v>5.2818792701510153</v>
      </c>
      <c r="Z6" s="15">
        <f t="shared" si="9"/>
        <v>13.80183001763265</v>
      </c>
      <c r="AA6" s="24">
        <v>2877.5954855509144</v>
      </c>
      <c r="AB6" s="15">
        <f t="shared" si="10"/>
        <v>7519.309268487933</v>
      </c>
      <c r="AC6" s="24">
        <v>182.4470543850527</v>
      </c>
      <c r="AD6" s="15">
        <f t="shared" si="11"/>
        <v>476.74380708975974</v>
      </c>
      <c r="AE6" s="24">
        <v>356.78535079743642</v>
      </c>
      <c r="AF6" s="15">
        <f t="shared" si="12"/>
        <v>932.29900053108588</v>
      </c>
      <c r="AG6" s="24">
        <v>8.6054193984949858</v>
      </c>
      <c r="AH6" s="15">
        <f t="shared" si="13"/>
        <v>22.486416234400334</v>
      </c>
    </row>
    <row r="7" spans="1:34" x14ac:dyDescent="0.45">
      <c r="A7" s="11" t="s">
        <v>8</v>
      </c>
      <c r="B7" s="10" t="s">
        <v>6</v>
      </c>
      <c r="C7" s="29" t="s">
        <v>65</v>
      </c>
      <c r="D7" s="29" t="s">
        <v>56</v>
      </c>
      <c r="E7" s="29" t="s">
        <v>43</v>
      </c>
      <c r="F7" s="12">
        <v>1.3065264569402053</v>
      </c>
      <c r="G7" s="25">
        <v>0.13000135743477542</v>
      </c>
      <c r="H7" s="19">
        <f t="shared" si="0"/>
        <v>3397.0042585334872</v>
      </c>
      <c r="I7" s="15">
        <v>49.363374325799825</v>
      </c>
      <c r="J7" s="15">
        <f t="shared" si="1"/>
        <v>128.98910912100069</v>
      </c>
      <c r="K7" s="26">
        <v>26465.905512025209</v>
      </c>
      <c r="L7" s="15">
        <f t="shared" si="2"/>
        <v>69156.811516681104</v>
      </c>
      <c r="M7" s="15">
        <v>87.228452623903308</v>
      </c>
      <c r="N7" s="15">
        <f t="shared" si="3"/>
        <v>227.93256230216991</v>
      </c>
      <c r="O7" s="27">
        <v>4.5282866961350274</v>
      </c>
      <c r="P7" s="19">
        <f t="shared" si="4"/>
        <v>118.32652746221532</v>
      </c>
      <c r="Q7" s="27">
        <v>1.261303600293318</v>
      </c>
      <c r="R7" s="19">
        <f t="shared" si="5"/>
        <v>32.958530480343072</v>
      </c>
      <c r="S7" s="27">
        <v>13.132576822747383</v>
      </c>
      <c r="T7" s="15">
        <f t="shared" si="6"/>
        <v>34.316118133438401</v>
      </c>
      <c r="U7" s="27">
        <v>6.5685712507379108</v>
      </c>
      <c r="V7" s="15">
        <f t="shared" si="7"/>
        <v>17.164024246771795</v>
      </c>
      <c r="W7" s="27">
        <v>33.150447958784532</v>
      </c>
      <c r="X7" s="15">
        <f t="shared" si="8"/>
        <v>86.623874635142855</v>
      </c>
      <c r="Y7" s="27">
        <v>7.2135216001306057</v>
      </c>
      <c r="Z7" s="15">
        <f t="shared" si="9"/>
        <v>18.849313636560563</v>
      </c>
      <c r="AA7" s="24">
        <v>2872.0503291924897</v>
      </c>
      <c r="AB7" s="15">
        <f t="shared" si="10"/>
        <v>7504.8194815076295</v>
      </c>
      <c r="AC7" s="24">
        <v>269.83626202996396</v>
      </c>
      <c r="AD7" s="15">
        <f t="shared" si="11"/>
        <v>705.09643076799546</v>
      </c>
      <c r="AE7" s="24">
        <v>338.07071909501235</v>
      </c>
      <c r="AF7" s="15">
        <f t="shared" si="12"/>
        <v>883.39667762886802</v>
      </c>
      <c r="AG7" s="24">
        <v>12.716421543940831</v>
      </c>
      <c r="AH7" s="15">
        <f t="shared" si="13"/>
        <v>33.228682369526226</v>
      </c>
    </row>
    <row r="8" spans="1:34" x14ac:dyDescent="0.45">
      <c r="A8" s="11" t="s">
        <v>8</v>
      </c>
      <c r="B8" s="10" t="s">
        <v>6</v>
      </c>
      <c r="C8" s="29" t="s">
        <v>65</v>
      </c>
      <c r="D8" s="29" t="s">
        <v>57</v>
      </c>
      <c r="E8" s="29" t="s">
        <v>43</v>
      </c>
      <c r="F8" s="12">
        <v>1.3065264569402053</v>
      </c>
      <c r="G8" s="25">
        <v>0.11587905014551084</v>
      </c>
      <c r="H8" s="19">
        <f t="shared" si="0"/>
        <v>3027.9808964042136</v>
      </c>
      <c r="I8" s="15">
        <v>43.486636698050148</v>
      </c>
      <c r="J8" s="15">
        <f t="shared" si="1"/>
        <v>113.63288273869875</v>
      </c>
      <c r="K8" s="26">
        <v>26413.361320062791</v>
      </c>
      <c r="L8" s="15">
        <f t="shared" si="2"/>
        <v>69019.510762766222</v>
      </c>
      <c r="M8" s="15">
        <v>84.864221731760665</v>
      </c>
      <c r="N8" s="15">
        <f t="shared" si="3"/>
        <v>221.7547018803705</v>
      </c>
      <c r="O8" s="27">
        <v>4.5113820272603977</v>
      </c>
      <c r="P8" s="19">
        <f t="shared" si="4"/>
        <v>117.88479951960497</v>
      </c>
      <c r="Q8" s="27">
        <v>1.0998403136436186</v>
      </c>
      <c r="R8" s="19">
        <f t="shared" si="5"/>
        <v>28.739409363696026</v>
      </c>
      <c r="S8" s="27">
        <v>11.830523531350456</v>
      </c>
      <c r="T8" s="15">
        <f t="shared" si="6"/>
        <v>30.913783986326081</v>
      </c>
      <c r="U8" s="27">
        <v>4.7630599841071959</v>
      </c>
      <c r="V8" s="15">
        <f t="shared" si="7"/>
        <v>12.446127770458494</v>
      </c>
      <c r="W8" s="27">
        <v>23.723897916576568</v>
      </c>
      <c r="X8" s="15">
        <f t="shared" si="8"/>
        <v>61.991800579511811</v>
      </c>
      <c r="Y8" s="27">
        <v>5.1997584474688363</v>
      </c>
      <c r="Z8" s="15">
        <f t="shared" si="9"/>
        <v>13.587243962632725</v>
      </c>
      <c r="AA8" s="24">
        <v>2807.6479117735703</v>
      </c>
      <c r="AB8" s="15">
        <f t="shared" si="10"/>
        <v>7336.5325570101795</v>
      </c>
      <c r="AC8" s="24">
        <v>177.19649497591629</v>
      </c>
      <c r="AD8" s="15">
        <f t="shared" si="11"/>
        <v>463.02381752621369</v>
      </c>
      <c r="AE8" s="24">
        <v>276.99681973246686</v>
      </c>
      <c r="AF8" s="15">
        <f t="shared" si="12"/>
        <v>723.80734693752947</v>
      </c>
      <c r="AG8" s="24">
        <v>17.108627101122952</v>
      </c>
      <c r="AH8" s="15">
        <f t="shared" si="13"/>
        <v>44.705747899082695</v>
      </c>
    </row>
    <row r="9" spans="1:34" x14ac:dyDescent="0.45">
      <c r="A9" s="11" t="s">
        <v>8</v>
      </c>
      <c r="B9" s="10" t="s">
        <v>6</v>
      </c>
      <c r="C9" s="29" t="s">
        <v>65</v>
      </c>
      <c r="D9" s="29" t="s">
        <v>59</v>
      </c>
      <c r="E9" s="29" t="s">
        <v>43</v>
      </c>
      <c r="F9" s="12">
        <v>1.3065264569402053</v>
      </c>
      <c r="G9" s="25">
        <v>0.12425762063343332</v>
      </c>
      <c r="H9" s="19">
        <f t="shared" ref="H9:H72" si="14">F9*0.2*10000*G9/100*1000</f>
        <v>3246.917376680396</v>
      </c>
      <c r="I9" s="15">
        <v>47.589163342210199</v>
      </c>
      <c r="J9" s="15">
        <f t="shared" ref="J9:J72" si="15">F9*0.2*10000*1000*I9/1000000</f>
        <v>124.3530019404932</v>
      </c>
      <c r="K9" s="26">
        <v>28054.746948464526</v>
      </c>
      <c r="L9" s="15">
        <f t="shared" ref="L9:L72" si="16">F9*0.2*10000*1000*K9/1000000</f>
        <v>73308.538261862806</v>
      </c>
      <c r="M9" s="15">
        <v>91.541600228137938</v>
      </c>
      <c r="N9" s="15">
        <f t="shared" ref="N9:N72" si="17">F9*0.2*10000*1000*M9/1000000</f>
        <v>239.20304521741156</v>
      </c>
      <c r="O9" s="27">
        <v>4.0136658800232006</v>
      </c>
      <c r="P9" s="19">
        <f t="shared" ref="P9:P72" si="18">F9*0.2*10000*O9/100</f>
        <v>104.87921323137009</v>
      </c>
      <c r="Q9" s="27">
        <v>1.1467616800066289</v>
      </c>
      <c r="R9" s="19">
        <f t="shared" ref="R9:R72" si="19">F9*0.2*10000*Q9/100</f>
        <v>29.965489494677172</v>
      </c>
      <c r="S9" s="27">
        <v>13.096441039859599</v>
      </c>
      <c r="T9" s="15">
        <f t="shared" ref="T9:T72" si="20">F9*0.2*10000*1000*S9/1000000</f>
        <v>34.221693420668124</v>
      </c>
      <c r="U9" s="27">
        <v>3.1105413447409003</v>
      </c>
      <c r="V9" s="15">
        <f t="shared" si="7"/>
        <v>8.1280091246207018</v>
      </c>
      <c r="W9" s="27">
        <v>19.368053509096661</v>
      </c>
      <c r="X9" s="15">
        <f t="shared" si="8"/>
        <v>50.609748658136752</v>
      </c>
      <c r="Y9" s="27">
        <v>9.1530733225910463</v>
      </c>
      <c r="Z9" s="15">
        <f t="shared" si="9"/>
        <v>23.917464916557588</v>
      </c>
      <c r="AA9" s="24">
        <v>2827.4416050014629</v>
      </c>
      <c r="AB9" s="15">
        <f t="shared" si="10"/>
        <v>7388.2545247757789</v>
      </c>
      <c r="AC9" s="24">
        <v>181.31462574509573</v>
      </c>
      <c r="AD9" s="15">
        <f t="shared" si="11"/>
        <v>473.78471113235861</v>
      </c>
      <c r="AE9" s="24">
        <v>345.5643455377118</v>
      </c>
      <c r="AF9" s="15">
        <f t="shared" si="12"/>
        <v>902.97792004049506</v>
      </c>
      <c r="AG9" s="24">
        <v>13.011990788765694</v>
      </c>
      <c r="AH9" s="15">
        <f t="shared" si="13"/>
        <v>34.00102044596926</v>
      </c>
    </row>
    <row r="10" spans="1:34" x14ac:dyDescent="0.45">
      <c r="A10" s="11" t="s">
        <v>8</v>
      </c>
      <c r="B10" s="10" t="s">
        <v>6</v>
      </c>
      <c r="C10" s="29" t="s">
        <v>65</v>
      </c>
      <c r="D10" s="29" t="s">
        <v>60</v>
      </c>
      <c r="E10" s="29" t="s">
        <v>43</v>
      </c>
      <c r="F10" s="12">
        <v>1.3065264569402053</v>
      </c>
      <c r="G10" s="25">
        <v>0.12249294074573361</v>
      </c>
      <c r="H10" s="19">
        <f t="shared" si="14"/>
        <v>3200.8053574541968</v>
      </c>
      <c r="I10" s="15">
        <v>47.052042936622293</v>
      </c>
      <c r="J10" s="15">
        <f t="shared" si="15"/>
        <v>122.9494778995671</v>
      </c>
      <c r="K10" s="26">
        <v>27688.317574243116</v>
      </c>
      <c r="L10" s="15">
        <f t="shared" si="16"/>
        <v>72351.038917822181</v>
      </c>
      <c r="M10" s="15">
        <v>89.851305069357551</v>
      </c>
      <c r="N10" s="15">
        <f t="shared" si="17"/>
        <v>234.7862145274425</v>
      </c>
      <c r="O10" s="27">
        <v>5.4804771857410364</v>
      </c>
      <c r="P10" s="19">
        <f t="shared" si="18"/>
        <v>143.20776879655727</v>
      </c>
      <c r="Q10" s="27">
        <v>2.0142798611772088</v>
      </c>
      <c r="R10" s="19">
        <f t="shared" si="19"/>
        <v>52.634198606197351</v>
      </c>
      <c r="S10" s="27">
        <v>14.935209031041074</v>
      </c>
      <c r="T10" s="15">
        <f t="shared" si="20"/>
        <v>39.026491477974908</v>
      </c>
      <c r="U10" s="27">
        <v>3.5539497904584736</v>
      </c>
      <c r="V10" s="15">
        <f t="shared" si="7"/>
        <v>9.2866588557421892</v>
      </c>
      <c r="W10" s="27">
        <v>24.60059330760906</v>
      </c>
      <c r="X10" s="15">
        <f t="shared" si="8"/>
        <v>64.282652025634789</v>
      </c>
      <c r="Y10" s="27">
        <v>7.9104043723107962</v>
      </c>
      <c r="Z10" s="15">
        <f t="shared" si="9"/>
        <v>20.67030519503907</v>
      </c>
      <c r="AA10" s="24">
        <v>2814.819274502639</v>
      </c>
      <c r="AB10" s="15">
        <f t="shared" si="10"/>
        <v>7355.2717072858659</v>
      </c>
      <c r="AC10" s="24">
        <v>212.51484551088299</v>
      </c>
      <c r="AD10" s="15">
        <f t="shared" si="11"/>
        <v>555.31253630505819</v>
      </c>
      <c r="AE10" s="24">
        <v>363.88155151155905</v>
      </c>
      <c r="AF10" s="15">
        <f t="shared" si="12"/>
        <v>950.8417484846043</v>
      </c>
      <c r="AG10" s="24">
        <v>12.329870753697456</v>
      </c>
      <c r="AH10" s="15">
        <f t="shared" si="13"/>
        <v>32.218604700717997</v>
      </c>
    </row>
    <row r="11" spans="1:34" x14ac:dyDescent="0.45">
      <c r="A11" s="11" t="s">
        <v>8</v>
      </c>
      <c r="B11" s="10" t="s">
        <v>6</v>
      </c>
      <c r="C11" s="29" t="s">
        <v>65</v>
      </c>
      <c r="D11" s="29" t="s">
        <v>61</v>
      </c>
      <c r="E11" s="29" t="s">
        <v>43</v>
      </c>
      <c r="F11" s="12">
        <v>1.3065264569402053</v>
      </c>
      <c r="G11" s="25">
        <v>0.11676153335267912</v>
      </c>
      <c r="H11" s="19">
        <f t="shared" si="14"/>
        <v>3051.0406495636294</v>
      </c>
      <c r="I11" s="15">
        <v>34.349037090833164</v>
      </c>
      <c r="J11" s="15">
        <f t="shared" si="15"/>
        <v>89.755851459187923</v>
      </c>
      <c r="K11" s="26">
        <v>26001.645395574826</v>
      </c>
      <c r="L11" s="15">
        <f t="shared" si="16"/>
        <v>67943.675266591978</v>
      </c>
      <c r="M11" s="15">
        <v>83.56986398356338</v>
      </c>
      <c r="N11" s="15">
        <f t="shared" si="17"/>
        <v>218.3724765948399</v>
      </c>
      <c r="O11" s="27">
        <v>4.6624500234411927</v>
      </c>
      <c r="P11" s="19">
        <f t="shared" si="18"/>
        <v>121.83228619574798</v>
      </c>
      <c r="Q11" s="27">
        <v>1.1681742915874636</v>
      </c>
      <c r="R11" s="19">
        <f t="shared" si="19"/>
        <v>30.525012365528063</v>
      </c>
      <c r="S11" s="27">
        <v>10.043676181645505</v>
      </c>
      <c r="T11" s="15">
        <f t="shared" si="20"/>
        <v>26.244657312520069</v>
      </c>
      <c r="U11" s="27">
        <v>6.9875868406867356</v>
      </c>
      <c r="V11" s="15">
        <f t="shared" si="7"/>
        <v>18.258934155048891</v>
      </c>
      <c r="W11" s="27">
        <v>30.856076544022613</v>
      </c>
      <c r="X11" s="15">
        <f t="shared" si="8"/>
        <v>80.628560724275289</v>
      </c>
      <c r="Y11" s="27">
        <v>9.5276290161556059</v>
      </c>
      <c r="Z11" s="15">
        <f t="shared" si="9"/>
        <v>24.89619876303696</v>
      </c>
      <c r="AA11" s="24">
        <v>2698.2660243901714</v>
      </c>
      <c r="AB11" s="15">
        <f t="shared" si="10"/>
        <v>7050.7118974572495</v>
      </c>
      <c r="AC11" s="24">
        <v>226.45619687650745</v>
      </c>
      <c r="AD11" s="15">
        <f t="shared" si="11"/>
        <v>591.74202511443389</v>
      </c>
      <c r="AE11" s="24">
        <v>295.20182807116146</v>
      </c>
      <c r="AF11" s="15">
        <f t="shared" si="12"/>
        <v>771.3779970241726</v>
      </c>
      <c r="AG11" s="24">
        <v>30.531147971743412</v>
      </c>
      <c r="AH11" s="15">
        <f t="shared" si="13"/>
        <v>79.779505171678124</v>
      </c>
    </row>
    <row r="12" spans="1:34" x14ac:dyDescent="0.45">
      <c r="A12" s="11" t="s">
        <v>8</v>
      </c>
      <c r="B12" s="10" t="s">
        <v>6</v>
      </c>
      <c r="C12" s="29" t="s">
        <v>65</v>
      </c>
      <c r="D12" s="29" t="s">
        <v>62</v>
      </c>
      <c r="E12" s="29" t="s">
        <v>43</v>
      </c>
      <c r="F12" s="12">
        <v>1.3065264569402053</v>
      </c>
      <c r="G12" s="25">
        <v>0.13121816817084536</v>
      </c>
      <c r="H12" s="19">
        <f t="shared" si="14"/>
        <v>3428.8001669287723</v>
      </c>
      <c r="I12" s="15">
        <v>32.562613693383248</v>
      </c>
      <c r="J12" s="15">
        <f t="shared" si="15"/>
        <v>85.087832595057279</v>
      </c>
      <c r="K12" s="26">
        <v>26677.803989759763</v>
      </c>
      <c r="L12" s="15">
        <f t="shared" si="16"/>
        <v>69710.513451372201</v>
      </c>
      <c r="M12" s="15">
        <v>85.32974070254042</v>
      </c>
      <c r="N12" s="15">
        <f t="shared" si="17"/>
        <v>222.97112758343314</v>
      </c>
      <c r="O12" s="27">
        <v>4.308857664993111</v>
      </c>
      <c r="P12" s="19">
        <f t="shared" si="18"/>
        <v>112.59273077006192</v>
      </c>
      <c r="Q12" s="27">
        <v>1.2516205598313321</v>
      </c>
      <c r="R12" s="19">
        <f t="shared" si="19"/>
        <v>32.705507509398934</v>
      </c>
      <c r="S12" s="27">
        <v>26.127281153307578</v>
      </c>
      <c r="T12" s="15">
        <f t="shared" si="20"/>
        <v>68.271968149423103</v>
      </c>
      <c r="U12" s="27">
        <v>8.8303080196370711</v>
      </c>
      <c r="V12" s="15">
        <f t="shared" si="7"/>
        <v>23.07406210117421</v>
      </c>
      <c r="W12" s="27">
        <v>44.191861139370928</v>
      </c>
      <c r="X12" s="15">
        <f t="shared" si="8"/>
        <v>115.47567152003171</v>
      </c>
      <c r="Y12" s="27">
        <v>17.025559640601617</v>
      </c>
      <c r="Z12" s="15">
        <f t="shared" si="9"/>
        <v>44.488688229318782</v>
      </c>
      <c r="AA12" s="24">
        <v>2605.8329688291669</v>
      </c>
      <c r="AB12" s="15">
        <f t="shared" si="10"/>
        <v>6809.1794322846963</v>
      </c>
      <c r="AC12" s="24">
        <v>282.12758520788219</v>
      </c>
      <c r="AD12" s="15">
        <f t="shared" si="11"/>
        <v>737.21430861350052</v>
      </c>
      <c r="AE12" s="24">
        <v>324.19024336614831</v>
      </c>
      <c r="AF12" s="15">
        <f t="shared" si="12"/>
        <v>847.12626007951349</v>
      </c>
      <c r="AG12" s="24">
        <v>10.125815512733809</v>
      </c>
      <c r="AH12" s="15">
        <f t="shared" si="13"/>
        <v>26.459291730964548</v>
      </c>
    </row>
    <row r="13" spans="1:34" x14ac:dyDescent="0.45">
      <c r="A13" s="11" t="s">
        <v>8</v>
      </c>
      <c r="B13" s="10" t="s">
        <v>6</v>
      </c>
      <c r="C13" s="29" t="s">
        <v>65</v>
      </c>
      <c r="D13" s="29" t="s">
        <v>51</v>
      </c>
      <c r="E13" s="29" t="s">
        <v>44</v>
      </c>
      <c r="F13" s="12">
        <v>1.3065264569402053</v>
      </c>
      <c r="G13" s="25">
        <v>0.12022141404711555</v>
      </c>
      <c r="H13" s="19">
        <f t="shared" si="14"/>
        <v>3141.4491628663864</v>
      </c>
      <c r="I13" s="15">
        <v>31.495957057697222</v>
      </c>
      <c r="J13" s="15">
        <f t="shared" si="15"/>
        <v>82.300602365068016</v>
      </c>
      <c r="K13" s="26">
        <v>27010.169234328227</v>
      </c>
      <c r="L13" s="15">
        <f t="shared" si="16"/>
        <v>70579.001422164394</v>
      </c>
      <c r="M13" s="15">
        <v>85.99350699692485</v>
      </c>
      <c r="N13" s="15">
        <f t="shared" si="17"/>
        <v>224.70558403311</v>
      </c>
      <c r="O13" s="27">
        <v>3.7516838739599567</v>
      </c>
      <c r="P13" s="19">
        <f t="shared" si="18"/>
        <v>98.033484788092139</v>
      </c>
      <c r="Q13" s="27">
        <v>1.0865532531140858</v>
      </c>
      <c r="R13" s="19">
        <f t="shared" si="19"/>
        <v>28.392211441360015</v>
      </c>
      <c r="S13" s="27">
        <v>12.705390733009716</v>
      </c>
      <c r="T13" s="15">
        <f t="shared" si="20"/>
        <v>33.199858276880214</v>
      </c>
      <c r="U13" s="27">
        <v>2.9723126741722843</v>
      </c>
      <c r="V13" s="15">
        <f t="shared" si="7"/>
        <v>7.7668102942095638</v>
      </c>
      <c r="W13" s="27">
        <v>18.788197171189356</v>
      </c>
      <c r="X13" s="15">
        <f t="shared" si="8"/>
        <v>49.094553364736043</v>
      </c>
      <c r="Y13" s="27">
        <v>9.692323937518319</v>
      </c>
      <c r="Z13" s="15">
        <f t="shared" si="9"/>
        <v>25.326555307205105</v>
      </c>
      <c r="AA13" s="24">
        <v>2558.5253960120358</v>
      </c>
      <c r="AB13" s="15">
        <f t="shared" si="10"/>
        <v>6685.5622412862822</v>
      </c>
      <c r="AC13" s="24">
        <v>161.95793772832599</v>
      </c>
      <c r="AD13" s="15">
        <f t="shared" si="11"/>
        <v>423.20466110706434</v>
      </c>
      <c r="AE13" s="24">
        <v>349.54213142632381</v>
      </c>
      <c r="AF13" s="15">
        <f t="shared" si="12"/>
        <v>913.37208504752505</v>
      </c>
      <c r="AG13" s="24">
        <v>9.3279571729605468</v>
      </c>
      <c r="AH13" s="15">
        <f t="shared" si="13"/>
        <v>24.374445671356238</v>
      </c>
    </row>
    <row r="14" spans="1:34" x14ac:dyDescent="0.45">
      <c r="A14" s="11" t="s">
        <v>8</v>
      </c>
      <c r="B14" s="10" t="s">
        <v>6</v>
      </c>
      <c r="C14" s="29" t="s">
        <v>65</v>
      </c>
      <c r="D14" s="29" t="s">
        <v>52</v>
      </c>
      <c r="E14" s="29" t="s">
        <v>44</v>
      </c>
      <c r="F14" s="12">
        <v>1.3065264569402053</v>
      </c>
      <c r="G14" s="25">
        <v>0.12964107497552368</v>
      </c>
      <c r="H14" s="19">
        <f t="shared" si="14"/>
        <v>3387.5898872338098</v>
      </c>
      <c r="I14" s="15">
        <v>54.490404649693872</v>
      </c>
      <c r="J14" s="15">
        <f t="shared" si="15"/>
        <v>142.38631064840527</v>
      </c>
      <c r="K14" s="26">
        <v>27397.410159063951</v>
      </c>
      <c r="L14" s="15">
        <f t="shared" si="16"/>
        <v>71590.882448918841</v>
      </c>
      <c r="M14" s="15">
        <v>91.324700530213178</v>
      </c>
      <c r="N14" s="15">
        <f t="shared" si="17"/>
        <v>238.63627482972947</v>
      </c>
      <c r="O14" s="27">
        <v>4.4339765657650148</v>
      </c>
      <c r="P14" s="19">
        <f t="shared" si="18"/>
        <v>115.86215385249729</v>
      </c>
      <c r="Q14" s="27">
        <v>1.361127689955772</v>
      </c>
      <c r="R14" s="19">
        <f t="shared" si="19"/>
        <v>35.566986764022424</v>
      </c>
      <c r="S14" s="27">
        <v>20.899340993507799</v>
      </c>
      <c r="T14" s="15">
        <f t="shared" si="20"/>
        <v>54.611083881265877</v>
      </c>
      <c r="U14" s="27">
        <v>14.338073758015089</v>
      </c>
      <c r="V14" s="15">
        <f t="shared" si="7"/>
        <v>37.466145412813582</v>
      </c>
      <c r="W14" s="27">
        <v>47.158115229300847</v>
      </c>
      <c r="X14" s="15">
        <f t="shared" si="8"/>
        <v>123.22665041303277</v>
      </c>
      <c r="Y14" s="27">
        <v>13.505281510348713</v>
      </c>
      <c r="Z14" s="15">
        <f t="shared" si="9"/>
        <v>35.290015203391938</v>
      </c>
      <c r="AA14" s="24">
        <v>2846.476203877588</v>
      </c>
      <c r="AB14" s="15">
        <f t="shared" si="10"/>
        <v>7437.9929388335822</v>
      </c>
      <c r="AC14" s="24">
        <v>309.24679745830588</v>
      </c>
      <c r="AD14" s="15">
        <f t="shared" si="11"/>
        <v>808.07824520661154</v>
      </c>
      <c r="AE14" s="24">
        <v>350.41276724983356</v>
      </c>
      <c r="AF14" s="15">
        <f t="shared" si="12"/>
        <v>915.64710252307577</v>
      </c>
      <c r="AG14" s="24">
        <v>24.900391483655799</v>
      </c>
      <c r="AH14" s="15">
        <f t="shared" si="13"/>
        <v>65.066040523129757</v>
      </c>
    </row>
    <row r="15" spans="1:34" x14ac:dyDescent="0.45">
      <c r="A15" s="11" t="s">
        <v>8</v>
      </c>
      <c r="B15" s="10" t="s">
        <v>6</v>
      </c>
      <c r="C15" s="29" t="s">
        <v>65</v>
      </c>
      <c r="D15" s="29" t="s">
        <v>53</v>
      </c>
      <c r="E15" s="29" t="s">
        <v>44</v>
      </c>
      <c r="F15" s="12">
        <v>1.3065264569402053</v>
      </c>
      <c r="G15" s="25">
        <v>0.12380495544797641</v>
      </c>
      <c r="H15" s="19">
        <f t="shared" si="14"/>
        <v>3235.0889958616922</v>
      </c>
      <c r="I15" s="15">
        <v>35.567161609531283</v>
      </c>
      <c r="J15" s="15">
        <f t="shared" si="15"/>
        <v>92.938875282241213</v>
      </c>
      <c r="K15" s="26">
        <v>24350.563473910908</v>
      </c>
      <c r="L15" s="15">
        <f t="shared" si="16"/>
        <v>63629.310840132806</v>
      </c>
      <c r="M15" s="15">
        <v>79.858343991211754</v>
      </c>
      <c r="N15" s="15">
        <f t="shared" si="17"/>
        <v>208.67407846390009</v>
      </c>
      <c r="O15" s="27">
        <v>4.2829995183869594</v>
      </c>
      <c r="P15" s="19">
        <f t="shared" si="18"/>
        <v>111.91704371669441</v>
      </c>
      <c r="Q15" s="27">
        <v>1.1988300087351058</v>
      </c>
      <c r="R15" s="19">
        <f t="shared" si="19"/>
        <v>31.326062475725465</v>
      </c>
      <c r="S15" s="27">
        <v>15.369118435852441</v>
      </c>
      <c r="T15" s="15">
        <f t="shared" si="20"/>
        <v>40.160319712577362</v>
      </c>
      <c r="U15" s="27">
        <v>5.8362605689226532</v>
      </c>
      <c r="V15" s="15">
        <f t="shared" si="7"/>
        <v>15.250457685788685</v>
      </c>
      <c r="W15" s="27">
        <v>28.961607274915689</v>
      </c>
      <c r="X15" s="15">
        <f t="shared" si="8"/>
        <v>75.678212280378546</v>
      </c>
      <c r="Y15" s="27">
        <v>14.700499207155424</v>
      </c>
      <c r="Z15" s="15">
        <f t="shared" si="9"/>
        <v>38.41318228875415</v>
      </c>
      <c r="AA15" s="24">
        <v>2437.4633806793659</v>
      </c>
      <c r="AB15" s="15">
        <f t="shared" si="10"/>
        <v>6369.2207893610148</v>
      </c>
      <c r="AC15" s="24">
        <v>196.06112075796028</v>
      </c>
      <c r="AD15" s="15">
        <f t="shared" si="11"/>
        <v>512.31808289524724</v>
      </c>
      <c r="AE15" s="24">
        <v>323.15601813372348</v>
      </c>
      <c r="AF15" s="15">
        <f t="shared" si="12"/>
        <v>844.42377482231711</v>
      </c>
      <c r="AG15" s="24">
        <v>15.763708201645047</v>
      </c>
      <c r="AH15" s="15">
        <f t="shared" si="13"/>
        <v>41.191403649869123</v>
      </c>
    </row>
    <row r="16" spans="1:34" x14ac:dyDescent="0.45">
      <c r="A16" s="11" t="s">
        <v>8</v>
      </c>
      <c r="B16" s="10" t="s">
        <v>6</v>
      </c>
      <c r="C16" s="29" t="s">
        <v>65</v>
      </c>
      <c r="D16" s="29" t="s">
        <v>54</v>
      </c>
      <c r="E16" s="29" t="s">
        <v>44</v>
      </c>
      <c r="F16" s="12">
        <v>1.5329753593952475</v>
      </c>
      <c r="G16" s="25">
        <v>0.11626378408277935</v>
      </c>
      <c r="H16" s="19">
        <f t="shared" si="14"/>
        <v>3564.590323779003</v>
      </c>
      <c r="I16" s="15">
        <v>49.089514228345109</v>
      </c>
      <c r="J16" s="15">
        <f t="shared" si="15"/>
        <v>150.50603143347095</v>
      </c>
      <c r="K16" s="26">
        <v>27653.450359256789</v>
      </c>
      <c r="L16" s="15">
        <f t="shared" si="16"/>
        <v>84784.116006000637</v>
      </c>
      <c r="M16" s="15">
        <v>91.312064273519056</v>
      </c>
      <c r="N16" s="15">
        <f t="shared" si="17"/>
        <v>279.95828909363968</v>
      </c>
      <c r="O16" s="27">
        <v>4.562819309277371</v>
      </c>
      <c r="P16" s="19">
        <f t="shared" si="18"/>
        <v>139.89379140990107</v>
      </c>
      <c r="Q16" s="27">
        <v>1.1024261418388277</v>
      </c>
      <c r="R16" s="19">
        <f t="shared" si="19"/>
        <v>33.799842219841864</v>
      </c>
      <c r="S16" s="27">
        <v>10.966854425123373</v>
      </c>
      <c r="T16" s="15">
        <f t="shared" si="20"/>
        <v>33.623835207577734</v>
      </c>
      <c r="U16" s="27">
        <v>5.3136653098704762</v>
      </c>
      <c r="V16" s="15">
        <f t="shared" si="7"/>
        <v>16.29143597620951</v>
      </c>
      <c r="W16" s="27">
        <v>31.970552947720698</v>
      </c>
      <c r="X16" s="15">
        <f t="shared" si="8"/>
        <v>98.020139790193866</v>
      </c>
      <c r="Y16" s="27">
        <v>10.017243121200268</v>
      </c>
      <c r="Z16" s="15">
        <f t="shared" si="9"/>
        <v>30.712373747743111</v>
      </c>
      <c r="AA16" s="24">
        <v>2714.2139918050398</v>
      </c>
      <c r="AB16" s="15">
        <f t="shared" si="10"/>
        <v>8321.6463391258822</v>
      </c>
      <c r="AC16" s="24">
        <v>246.00435202144212</v>
      </c>
      <c r="AD16" s="15">
        <f t="shared" si="11"/>
        <v>754.23721990573063</v>
      </c>
      <c r="AE16" s="24">
        <v>326.64478276706006</v>
      </c>
      <c r="AF16" s="15">
        <f t="shared" si="12"/>
        <v>1001.4768065138331</v>
      </c>
      <c r="AG16" s="24">
        <v>14.392785740673583</v>
      </c>
      <c r="AH16" s="15">
        <f t="shared" si="13"/>
        <v>44.127571787015768</v>
      </c>
    </row>
    <row r="17" spans="1:34" x14ac:dyDescent="0.45">
      <c r="A17" s="11" t="s">
        <v>8</v>
      </c>
      <c r="B17" s="10" t="s">
        <v>6</v>
      </c>
      <c r="C17" s="29" t="s">
        <v>65</v>
      </c>
      <c r="D17" s="29" t="s">
        <v>55</v>
      </c>
      <c r="E17" s="29" t="s">
        <v>44</v>
      </c>
      <c r="F17" s="12">
        <v>1.5329753593952475</v>
      </c>
      <c r="G17" s="25">
        <v>0.1282364824017668</v>
      </c>
      <c r="H17" s="19">
        <f t="shared" si="14"/>
        <v>3931.6673539486164</v>
      </c>
      <c r="I17" s="15">
        <v>49.361220869794543</v>
      </c>
      <c r="J17" s="15">
        <f t="shared" si="15"/>
        <v>151.33907060612299</v>
      </c>
      <c r="K17" s="26">
        <v>25416.612734148683</v>
      </c>
      <c r="L17" s="15">
        <f t="shared" si="16"/>
        <v>77926.082081482818</v>
      </c>
      <c r="M17" s="15">
        <v>83.119192995459215</v>
      </c>
      <c r="N17" s="15">
        <f t="shared" si="17"/>
        <v>254.83934950971414</v>
      </c>
      <c r="O17" s="27">
        <v>4.5148854003806953</v>
      </c>
      <c r="P17" s="19">
        <f t="shared" si="18"/>
        <v>138.42416138553907</v>
      </c>
      <c r="Q17" s="27">
        <v>1.3915742672406255</v>
      </c>
      <c r="R17" s="19">
        <f t="shared" si="19"/>
        <v>42.664981248967536</v>
      </c>
      <c r="S17" s="27">
        <v>13.039983735138696</v>
      </c>
      <c r="T17" s="15">
        <f t="shared" si="20"/>
        <v>39.979947505764855</v>
      </c>
      <c r="U17" s="27">
        <v>5.3669613412293335</v>
      </c>
      <c r="V17" s="15">
        <f t="shared" si="7"/>
        <v>16.454838981862878</v>
      </c>
      <c r="W17" s="27">
        <v>30.73533065488397</v>
      </c>
      <c r="X17" s="15">
        <f t="shared" si="8"/>
        <v>94.233009113605064</v>
      </c>
      <c r="Y17" s="27">
        <v>13.656821702867949</v>
      </c>
      <c r="Z17" s="15">
        <f t="shared" si="9"/>
        <v>41.871142316301629</v>
      </c>
      <c r="AA17" s="24">
        <v>2712.4076494363389</v>
      </c>
      <c r="AB17" s="15">
        <f t="shared" si="10"/>
        <v>8316.1081824421817</v>
      </c>
      <c r="AC17" s="24">
        <v>220.30732771129729</v>
      </c>
      <c r="AD17" s="15">
        <f t="shared" si="11"/>
        <v>675.45140975126526</v>
      </c>
      <c r="AE17" s="24">
        <v>317.32339863003369</v>
      </c>
      <c r="AF17" s="15">
        <f t="shared" si="12"/>
        <v>972.89790211879483</v>
      </c>
      <c r="AG17" s="24">
        <v>9.7521362954771504</v>
      </c>
      <c r="AH17" s="15">
        <f t="shared" si="13"/>
        <v>29.899569284861052</v>
      </c>
    </row>
    <row r="18" spans="1:34" x14ac:dyDescent="0.45">
      <c r="A18" s="11" t="s">
        <v>8</v>
      </c>
      <c r="B18" s="10" t="s">
        <v>6</v>
      </c>
      <c r="C18" s="29" t="s">
        <v>65</v>
      </c>
      <c r="D18" s="29" t="s">
        <v>56</v>
      </c>
      <c r="E18" s="29" t="s">
        <v>44</v>
      </c>
      <c r="F18" s="12">
        <v>1.5329753593952475</v>
      </c>
      <c r="G18" s="25">
        <v>0.11413703366575551</v>
      </c>
      <c r="H18" s="19">
        <f t="shared" si="14"/>
        <v>3499.3852040813804</v>
      </c>
      <c r="I18" s="15">
        <v>45.973385260312035</v>
      </c>
      <c r="J18" s="15">
        <f t="shared" si="15"/>
        <v>140.95213358408606</v>
      </c>
      <c r="K18" s="26">
        <v>26026.255291994828</v>
      </c>
      <c r="L18" s="15">
        <f t="shared" si="16"/>
        <v>79795.216119916484</v>
      </c>
      <c r="M18" s="15">
        <v>84.727809198756901</v>
      </c>
      <c r="N18" s="15">
        <f t="shared" si="17"/>
        <v>259.7712875144727</v>
      </c>
      <c r="O18" s="27">
        <v>4.9450170013789725</v>
      </c>
      <c r="P18" s="19">
        <f t="shared" si="18"/>
        <v>151.61178429809081</v>
      </c>
      <c r="Q18" s="27">
        <v>1.0052498627033228</v>
      </c>
      <c r="R18" s="19">
        <f t="shared" si="19"/>
        <v>30.820465391192997</v>
      </c>
      <c r="S18" s="27">
        <v>11.698041328488834</v>
      </c>
      <c r="T18" s="15">
        <f t="shared" si="20"/>
        <v>35.865618219521266</v>
      </c>
      <c r="U18" s="27">
        <v>7.3463363920851146</v>
      </c>
      <c r="V18" s="15">
        <f t="shared" si="7"/>
        <v>22.523505341790138</v>
      </c>
      <c r="W18" s="27">
        <v>13.270801224411821</v>
      </c>
      <c r="X18" s="15">
        <f t="shared" si="8"/>
        <v>40.687622552911215</v>
      </c>
      <c r="Y18" s="27">
        <v>4.6013343531070756</v>
      </c>
      <c r="Z18" s="15">
        <f t="shared" si="9"/>
        <v>14.10746436730404</v>
      </c>
      <c r="AA18" s="24">
        <v>2981.6912489064262</v>
      </c>
      <c r="AB18" s="15">
        <f t="shared" si="10"/>
        <v>9141.7184277959877</v>
      </c>
      <c r="AC18" s="24">
        <v>126.92548771506603</v>
      </c>
      <c r="AD18" s="15">
        <f t="shared" si="11"/>
        <v>389.14729029284092</v>
      </c>
      <c r="AE18" s="24">
        <v>259.13953741825981</v>
      </c>
      <c r="AF18" s="15">
        <f t="shared" si="12"/>
        <v>794.50905101455021</v>
      </c>
      <c r="AG18" s="24">
        <v>13.327176210081932</v>
      </c>
      <c r="AH18" s="15">
        <f t="shared" si="13"/>
        <v>40.860465480748296</v>
      </c>
    </row>
    <row r="19" spans="1:34" x14ac:dyDescent="0.45">
      <c r="A19" s="11" t="s">
        <v>8</v>
      </c>
      <c r="B19" s="10" t="s">
        <v>6</v>
      </c>
      <c r="C19" s="29" t="s">
        <v>65</v>
      </c>
      <c r="D19" s="29" t="s">
        <v>57</v>
      </c>
      <c r="E19" s="29" t="s">
        <v>44</v>
      </c>
      <c r="F19" s="12">
        <v>1.5329753593952475</v>
      </c>
      <c r="G19" s="25">
        <v>0.11564900550081431</v>
      </c>
      <c r="H19" s="19">
        <f t="shared" si="14"/>
        <v>3545.7415154262758</v>
      </c>
      <c r="I19" s="15">
        <v>47.697502823216794</v>
      </c>
      <c r="J19" s="15">
        <f t="shared" si="15"/>
        <v>146.23819306535324</v>
      </c>
      <c r="K19" s="26">
        <v>27629.651025643874</v>
      </c>
      <c r="L19" s="15">
        <f t="shared" si="16"/>
        <v>84711.148422003389</v>
      </c>
      <c r="M19" s="15">
        <v>89.772129297355178</v>
      </c>
      <c r="N19" s="15">
        <f t="shared" si="17"/>
        <v>275.23692434657943</v>
      </c>
      <c r="O19" s="27">
        <v>4.056595058199429</v>
      </c>
      <c r="P19" s="19">
        <f t="shared" si="18"/>
        <v>124.37320534528511</v>
      </c>
      <c r="Q19" s="27">
        <v>1.0422486043736567</v>
      </c>
      <c r="R19" s="19">
        <f t="shared" si="19"/>
        <v>31.954828577378038</v>
      </c>
      <c r="S19" s="27">
        <v>10.128840466584304</v>
      </c>
      <c r="T19" s="15">
        <f t="shared" si="20"/>
        <v>31.054525709038408</v>
      </c>
      <c r="U19" s="27">
        <v>4.3013340938619411</v>
      </c>
      <c r="V19" s="15">
        <f t="shared" si="7"/>
        <v>13.187678356834084</v>
      </c>
      <c r="W19" s="27">
        <v>14.612751442161114</v>
      </c>
      <c r="X19" s="15">
        <f t="shared" si="8"/>
        <v>44.801975787600718</v>
      </c>
      <c r="Y19" s="27">
        <v>7.5224244655211114</v>
      </c>
      <c r="Z19" s="15">
        <f t="shared" si="9"/>
        <v>23.063382697111663</v>
      </c>
      <c r="AA19" s="24">
        <v>2855.5117831168177</v>
      </c>
      <c r="AB19" s="15">
        <f t="shared" si="10"/>
        <v>8754.8584039617363</v>
      </c>
      <c r="AC19" s="24">
        <v>144.1459911847096</v>
      </c>
      <c r="AD19" s="15">
        <f t="shared" si="11"/>
        <v>441.94450528352888</v>
      </c>
      <c r="AE19" s="24">
        <v>321.79069863065456</v>
      </c>
      <c r="AF19" s="15">
        <f t="shared" si="12"/>
        <v>986.59442376675122</v>
      </c>
      <c r="AG19" s="24">
        <v>7.0651837932787247</v>
      </c>
      <c r="AH19" s="15">
        <f t="shared" si="13"/>
        <v>21.661505329389865</v>
      </c>
    </row>
    <row r="20" spans="1:34" x14ac:dyDescent="0.45">
      <c r="A20" s="11" t="s">
        <v>8</v>
      </c>
      <c r="B20" s="10" t="s">
        <v>6</v>
      </c>
      <c r="C20" s="29" t="s">
        <v>65</v>
      </c>
      <c r="D20" s="29" t="s">
        <v>59</v>
      </c>
      <c r="E20" s="29" t="s">
        <v>44</v>
      </c>
      <c r="F20" s="12">
        <v>1.5329753593952475</v>
      </c>
      <c r="G20" s="25">
        <v>0.12631021575555793</v>
      </c>
      <c r="H20" s="19">
        <f t="shared" si="14"/>
        <v>3872.6089678633543</v>
      </c>
      <c r="I20" s="15">
        <v>44.905359200444309</v>
      </c>
      <c r="J20" s="15">
        <f t="shared" si="15"/>
        <v>137.67761831814764</v>
      </c>
      <c r="K20" s="26">
        <v>26922.663868458596</v>
      </c>
      <c r="L20" s="15">
        <f t="shared" si="16"/>
        <v>82543.560639255535</v>
      </c>
      <c r="M20" s="15">
        <v>89.91347665992852</v>
      </c>
      <c r="N20" s="15">
        <f t="shared" si="17"/>
        <v>275.67028839446033</v>
      </c>
      <c r="O20" s="27">
        <v>3.9704352677397874</v>
      </c>
      <c r="P20" s="19">
        <f t="shared" si="18"/>
        <v>121.73158863037935</v>
      </c>
      <c r="Q20" s="27">
        <v>1.2446183093173944</v>
      </c>
      <c r="R20" s="19">
        <f t="shared" si="19"/>
        <v>38.159384000714766</v>
      </c>
      <c r="S20" s="27">
        <v>10.840710230068121</v>
      </c>
      <c r="T20" s="15">
        <f t="shared" si="20"/>
        <v>33.237083322076835</v>
      </c>
      <c r="U20" s="27">
        <v>4.5521972460982028</v>
      </c>
      <c r="V20" s="15">
        <f t="shared" si="7"/>
        <v>13.9568124187509</v>
      </c>
      <c r="W20" s="27">
        <v>36.084011791269809</v>
      </c>
      <c r="X20" s="15">
        <f t="shared" si="8"/>
        <v>110.63180188828839</v>
      </c>
      <c r="Y20" s="27">
        <v>13.37207941041347</v>
      </c>
      <c r="Z20" s="15">
        <f t="shared" si="9"/>
        <v>40.998136480080767</v>
      </c>
      <c r="AA20" s="24">
        <v>2835.4706844109046</v>
      </c>
      <c r="AB20" s="15">
        <f t="shared" si="10"/>
        <v>8693.4133829789916</v>
      </c>
      <c r="AC20" s="24">
        <v>277.53066931605707</v>
      </c>
      <c r="AD20" s="15">
        <f t="shared" si="11"/>
        <v>850.89535507597259</v>
      </c>
      <c r="AE20" s="24">
        <v>371.65820401416039</v>
      </c>
      <c r="AF20" s="15">
        <f t="shared" si="12"/>
        <v>1139.4857377415999</v>
      </c>
      <c r="AG20" s="24">
        <v>12.129836945631867</v>
      </c>
      <c r="AH20" s="15">
        <f t="shared" si="13"/>
        <v>37.189482302271536</v>
      </c>
    </row>
    <row r="21" spans="1:34" x14ac:dyDescent="0.45">
      <c r="A21" s="11" t="s">
        <v>8</v>
      </c>
      <c r="B21" s="10" t="s">
        <v>6</v>
      </c>
      <c r="C21" s="29" t="s">
        <v>65</v>
      </c>
      <c r="D21" s="29" t="s">
        <v>60</v>
      </c>
      <c r="E21" s="29" t="s">
        <v>44</v>
      </c>
      <c r="F21" s="12">
        <v>1.5329753593952475</v>
      </c>
      <c r="G21" s="25">
        <v>0.11028379923407744</v>
      </c>
      <c r="H21" s="19">
        <f t="shared" si="14"/>
        <v>3381.2469353266642</v>
      </c>
      <c r="I21" s="15">
        <v>41.672387352110825</v>
      </c>
      <c r="J21" s="15">
        <f t="shared" si="15"/>
        <v>127.76548595592014</v>
      </c>
      <c r="K21" s="26">
        <v>26796.203308794378</v>
      </c>
      <c r="L21" s="15">
        <f t="shared" si="16"/>
        <v>82155.838795454387</v>
      </c>
      <c r="M21" s="15">
        <v>86.777740252679308</v>
      </c>
      <c r="N21" s="15">
        <f t="shared" si="17"/>
        <v>266.05627510271705</v>
      </c>
      <c r="O21" s="27">
        <v>4.9068520905954571</v>
      </c>
      <c r="P21" s="19">
        <f t="shared" si="18"/>
        <v>150.44166694159787</v>
      </c>
      <c r="Q21" s="27">
        <v>1.0529286777736087</v>
      </c>
      <c r="R21" s="19">
        <f t="shared" si="19"/>
        <v>32.28227436455122</v>
      </c>
      <c r="S21" s="27">
        <v>10.335537279216387</v>
      </c>
      <c r="T21" s="15">
        <f t="shared" si="20"/>
        <v>31.688247950299449</v>
      </c>
      <c r="U21" s="27">
        <v>8.9219599327251231</v>
      </c>
      <c r="V21" s="15">
        <f t="shared" si="7"/>
        <v>27.354289468758594</v>
      </c>
      <c r="W21" s="27">
        <v>22.756644638533068</v>
      </c>
      <c r="X21" s="15">
        <f t="shared" si="8"/>
        <v>69.770750986770352</v>
      </c>
      <c r="Y21" s="27">
        <v>7.3879098599042416</v>
      </c>
      <c r="Z21" s="15">
        <f t="shared" si="9"/>
        <v>22.650967545332801</v>
      </c>
      <c r="AA21" s="24">
        <v>2535.6078000830285</v>
      </c>
      <c r="AB21" s="15">
        <f t="shared" si="10"/>
        <v>7774.0485572353491</v>
      </c>
      <c r="AC21" s="24">
        <v>166.36794261414337</v>
      </c>
      <c r="AD21" s="15">
        <f t="shared" si="11"/>
        <v>510.07591324152878</v>
      </c>
      <c r="AE21" s="24">
        <v>286.63392522677714</v>
      </c>
      <c r="AF21" s="15">
        <f t="shared" si="12"/>
        <v>878.80548907877858</v>
      </c>
      <c r="AG21" s="24">
        <v>22.650093392046024</v>
      </c>
      <c r="AH21" s="15">
        <f t="shared" si="13"/>
        <v>69.444070116015354</v>
      </c>
    </row>
    <row r="22" spans="1:34" x14ac:dyDescent="0.45">
      <c r="A22" s="11" t="s">
        <v>8</v>
      </c>
      <c r="B22" s="10" t="s">
        <v>6</v>
      </c>
      <c r="C22" s="29" t="s">
        <v>65</v>
      </c>
      <c r="D22" s="29" t="s">
        <v>61</v>
      </c>
      <c r="E22" s="29" t="s">
        <v>44</v>
      </c>
      <c r="F22" s="12">
        <v>1.5329753593952475</v>
      </c>
      <c r="G22" s="25">
        <v>0.11381790151570015</v>
      </c>
      <c r="H22" s="19">
        <f t="shared" si="14"/>
        <v>3489.600769632867</v>
      </c>
      <c r="I22" s="15">
        <v>39.532259510885964</v>
      </c>
      <c r="J22" s="15">
        <f t="shared" si="15"/>
        <v>121.20395946281323</v>
      </c>
      <c r="K22" s="26">
        <v>26836.520816789431</v>
      </c>
      <c r="L22" s="15">
        <f t="shared" si="16"/>
        <v>82279.450288071661</v>
      </c>
      <c r="M22" s="15">
        <v>85.463997062698652</v>
      </c>
      <c r="N22" s="15">
        <f t="shared" si="17"/>
        <v>262.02840322508973</v>
      </c>
      <c r="O22" s="27">
        <v>4.3794724755694183</v>
      </c>
      <c r="P22" s="19">
        <f t="shared" si="18"/>
        <v>134.27246784395248</v>
      </c>
      <c r="Q22" s="27">
        <v>1.1102887966232329</v>
      </c>
      <c r="R22" s="19">
        <f t="shared" si="19"/>
        <v>34.040907340720352</v>
      </c>
      <c r="S22" s="27">
        <v>10.858565358815877</v>
      </c>
      <c r="T22" s="15">
        <f t="shared" si="20"/>
        <v>33.291826266895114</v>
      </c>
      <c r="U22" s="27">
        <v>4.4396680460160463</v>
      </c>
      <c r="V22" s="15">
        <f t="shared" si="7"/>
        <v>13.611803436874094</v>
      </c>
      <c r="W22" s="27">
        <v>13.734296026539623</v>
      </c>
      <c r="X22" s="15">
        <f t="shared" si="8"/>
        <v>42.108674774650602</v>
      </c>
      <c r="Y22" s="27">
        <v>9.3836190994860331</v>
      </c>
      <c r="Z22" s="15">
        <f t="shared" si="9"/>
        <v>28.769713722925427</v>
      </c>
      <c r="AA22" s="24">
        <v>2744.6866653072575</v>
      </c>
      <c r="AB22" s="15">
        <f t="shared" si="10"/>
        <v>8415.0740543534739</v>
      </c>
      <c r="AC22" s="24">
        <v>129.960428675326</v>
      </c>
      <c r="AD22" s="15">
        <f t="shared" si="11"/>
        <v>398.45226971143671</v>
      </c>
      <c r="AE22" s="24">
        <v>294.83559938282912</v>
      </c>
      <c r="AF22" s="15">
        <f t="shared" si="12"/>
        <v>903.95141785281157</v>
      </c>
      <c r="AG22" s="24">
        <v>15.808619309013533</v>
      </c>
      <c r="AH22" s="15">
        <f t="shared" si="13"/>
        <v>48.468447733555351</v>
      </c>
    </row>
    <row r="23" spans="1:34" x14ac:dyDescent="0.45">
      <c r="A23" s="11" t="s">
        <v>8</v>
      </c>
      <c r="B23" s="10" t="s">
        <v>6</v>
      </c>
      <c r="C23" s="29" t="s">
        <v>65</v>
      </c>
      <c r="D23" s="29" t="s">
        <v>62</v>
      </c>
      <c r="E23" s="29" t="s">
        <v>44</v>
      </c>
      <c r="F23" s="12">
        <v>1.5329753593952475</v>
      </c>
      <c r="G23" s="25">
        <v>0.12895151299423219</v>
      </c>
      <c r="H23" s="19">
        <f t="shared" si="14"/>
        <v>3953.5898395378808</v>
      </c>
      <c r="I23" s="15">
        <v>45.645901277524167</v>
      </c>
      <c r="J23" s="15">
        <f t="shared" si="15"/>
        <v>139.94808383166523</v>
      </c>
      <c r="K23" s="26">
        <v>26882.368736565615</v>
      </c>
      <c r="L23" s="15">
        <f t="shared" si="16"/>
        <v>82420.017750664498</v>
      </c>
      <c r="M23" s="15">
        <v>92.915569794169741</v>
      </c>
      <c r="N23" s="15">
        <f t="shared" si="17"/>
        <v>284.8745579972632</v>
      </c>
      <c r="O23" s="27">
        <v>3.8036747576419101</v>
      </c>
      <c r="P23" s="19">
        <f t="shared" si="18"/>
        <v>116.61879357237478</v>
      </c>
      <c r="Q23" s="27">
        <v>1.1766033916972307</v>
      </c>
      <c r="R23" s="19">
        <f t="shared" si="19"/>
        <v>36.074080145054594</v>
      </c>
      <c r="S23" s="27">
        <v>12.289193790112922</v>
      </c>
      <c r="T23" s="15">
        <f t="shared" si="20"/>
        <v>37.67806253415241</v>
      </c>
      <c r="U23" s="27">
        <v>4.3598548743137888</v>
      </c>
      <c r="V23" s="15">
        <f t="shared" si="7"/>
        <v>13.367100185724606</v>
      </c>
      <c r="W23" s="27">
        <v>19.181370645668199</v>
      </c>
      <c r="X23" s="15">
        <f t="shared" si="8"/>
        <v>58.80913711847333</v>
      </c>
      <c r="Y23" s="27">
        <v>13.865931141367827</v>
      </c>
      <c r="Z23" s="15">
        <f t="shared" si="9"/>
        <v>42.512261549576209</v>
      </c>
      <c r="AA23" s="24">
        <v>2870.3114901897798</v>
      </c>
      <c r="AB23" s="15">
        <f t="shared" si="10"/>
        <v>8800.2335764999752</v>
      </c>
      <c r="AC23" s="24">
        <v>163.85060494457457</v>
      </c>
      <c r="AD23" s="15">
        <f t="shared" si="11"/>
        <v>502.35788000407592</v>
      </c>
      <c r="AE23" s="24">
        <v>336.4789208683228</v>
      </c>
      <c r="AF23" s="15">
        <f t="shared" si="12"/>
        <v>1031.6277892940848</v>
      </c>
      <c r="AG23" s="24">
        <v>15.117168908576822</v>
      </c>
      <c r="AH23" s="15">
        <f t="shared" si="13"/>
        <v>46.348494881328442</v>
      </c>
    </row>
    <row r="24" spans="1:34" x14ac:dyDescent="0.45">
      <c r="A24" s="11" t="s">
        <v>8</v>
      </c>
      <c r="B24" s="10" t="s">
        <v>6</v>
      </c>
      <c r="C24" s="29" t="s">
        <v>65</v>
      </c>
      <c r="D24" s="29" t="s">
        <v>51</v>
      </c>
      <c r="E24" s="29" t="s">
        <v>45</v>
      </c>
      <c r="F24" s="12">
        <v>1.5329753593952475</v>
      </c>
      <c r="G24" s="25">
        <v>0.10627556116003246</v>
      </c>
      <c r="H24" s="19">
        <f t="shared" si="14"/>
        <v>3258.3563312846477</v>
      </c>
      <c r="I24" s="15">
        <v>61.007991182259822</v>
      </c>
      <c r="J24" s="15">
        <f t="shared" si="15"/>
        <v>187.04749441721373</v>
      </c>
      <c r="K24" s="26">
        <v>26537.986533535171</v>
      </c>
      <c r="L24" s="15">
        <f t="shared" si="16"/>
        <v>81364.158887744663</v>
      </c>
      <c r="M24" s="15">
        <v>86.566716220092616</v>
      </c>
      <c r="N24" s="15">
        <f t="shared" si="17"/>
        <v>265.40928581832583</v>
      </c>
      <c r="O24" s="27">
        <v>4.3328208286549481</v>
      </c>
      <c r="P24" s="19">
        <f t="shared" si="18"/>
        <v>132.84215134005069</v>
      </c>
      <c r="Q24" s="27">
        <v>1.0038213740146213</v>
      </c>
      <c r="R24" s="19">
        <f t="shared" si="19"/>
        <v>30.776668631973912</v>
      </c>
      <c r="S24" s="27">
        <v>7.7642225431859533</v>
      </c>
      <c r="T24" s="15">
        <f t="shared" si="20"/>
        <v>23.804723687130345</v>
      </c>
      <c r="U24" s="27">
        <v>6.4948141585570314</v>
      </c>
      <c r="V24" s="15">
        <f t="shared" si="7"/>
        <v>19.91278013783862</v>
      </c>
      <c r="W24" s="27">
        <v>23.474986598170091</v>
      </c>
      <c r="X24" s="15">
        <f t="shared" si="8"/>
        <v>71.973152034256842</v>
      </c>
      <c r="Y24" s="27">
        <v>7.5942497841434893</v>
      </c>
      <c r="Z24" s="15">
        <f t="shared" si="9"/>
        <v>23.283595584369298</v>
      </c>
      <c r="AA24" s="24">
        <v>2641.1066563209824</v>
      </c>
      <c r="AB24" s="15">
        <f t="shared" si="10"/>
        <v>8097.5028513496791</v>
      </c>
      <c r="AC24" s="24">
        <v>167.70525156106621</v>
      </c>
      <c r="AD24" s="15">
        <f t="shared" si="11"/>
        <v>514.17603656859183</v>
      </c>
      <c r="AE24" s="24">
        <v>268.12755788505791</v>
      </c>
      <c r="AF24" s="15">
        <f t="shared" si="12"/>
        <v>822.06587882523354</v>
      </c>
      <c r="AG24" s="24">
        <v>12.050676758879007</v>
      </c>
      <c r="AH24" s="15">
        <f t="shared" si="13"/>
        <v>36.946781070797009</v>
      </c>
    </row>
    <row r="25" spans="1:34" x14ac:dyDescent="0.45">
      <c r="A25" s="11" t="s">
        <v>8</v>
      </c>
      <c r="B25" s="10" t="s">
        <v>6</v>
      </c>
      <c r="C25" s="29" t="s">
        <v>65</v>
      </c>
      <c r="D25" s="29" t="s">
        <v>52</v>
      </c>
      <c r="E25" s="29" t="s">
        <v>45</v>
      </c>
      <c r="F25" s="12">
        <v>1.5329753593952475</v>
      </c>
      <c r="G25" s="25">
        <v>0.13237907392829482</v>
      </c>
      <c r="H25" s="19">
        <f t="shared" si="14"/>
        <v>4058.6771686327561</v>
      </c>
      <c r="I25" s="15">
        <v>46.771372347438437</v>
      </c>
      <c r="J25" s="15">
        <f t="shared" si="15"/>
        <v>143.3987226674468</v>
      </c>
      <c r="K25" s="26">
        <v>27651.000004146001</v>
      </c>
      <c r="L25" s="15">
        <f t="shared" si="16"/>
        <v>84776.603337987428</v>
      </c>
      <c r="M25" s="15">
        <v>95.994074482478467</v>
      </c>
      <c r="N25" s="15">
        <f t="shared" si="17"/>
        <v>294.31310165918325</v>
      </c>
      <c r="O25" s="27">
        <v>4.1363934942372333</v>
      </c>
      <c r="P25" s="19">
        <f t="shared" si="18"/>
        <v>126.81978606856975</v>
      </c>
      <c r="Q25" s="27">
        <v>1.2687690767859843</v>
      </c>
      <c r="R25" s="19">
        <f t="shared" si="19"/>
        <v>38.899834629511417</v>
      </c>
      <c r="S25" s="27">
        <v>26.501822412500196</v>
      </c>
      <c r="T25" s="15">
        <f t="shared" si="20"/>
        <v>81.253281474863059</v>
      </c>
      <c r="U25" s="27">
        <v>5.9668522031684823</v>
      </c>
      <c r="V25" s="15">
        <f t="shared" si="7"/>
        <v>18.294074801221061</v>
      </c>
      <c r="W25" s="27">
        <v>35.224317506037941</v>
      </c>
      <c r="X25" s="15">
        <f t="shared" si="8"/>
        <v>107.99602157654168</v>
      </c>
      <c r="Y25" s="27">
        <v>19.491717197017046</v>
      </c>
      <c r="Z25" s="15">
        <f t="shared" si="9"/>
        <v>59.760644350655483</v>
      </c>
      <c r="AA25" s="24">
        <v>2778.6558541400368</v>
      </c>
      <c r="AB25" s="15">
        <f t="shared" si="10"/>
        <v>8519.2219132720656</v>
      </c>
      <c r="AC25" s="24">
        <v>251.43289631429568</v>
      </c>
      <c r="AD25" s="15">
        <f t="shared" si="11"/>
        <v>770.88086918239105</v>
      </c>
      <c r="AE25" s="24">
        <v>384.67084136973443</v>
      </c>
      <c r="AF25" s="15">
        <f t="shared" si="12"/>
        <v>1179.381842595282</v>
      </c>
      <c r="AG25" s="24">
        <v>16.010043397790621</v>
      </c>
      <c r="AH25" s="15">
        <f t="shared" si="13"/>
        <v>49.086004063323188</v>
      </c>
    </row>
    <row r="26" spans="1:34" x14ac:dyDescent="0.45">
      <c r="A26" s="11" t="s">
        <v>8</v>
      </c>
      <c r="B26" s="10" t="s">
        <v>6</v>
      </c>
      <c r="C26" s="29" t="s">
        <v>65</v>
      </c>
      <c r="D26" s="29" t="s">
        <v>53</v>
      </c>
      <c r="E26" s="29" t="s">
        <v>45</v>
      </c>
      <c r="F26" s="12">
        <v>1.5329753593952475</v>
      </c>
      <c r="G26" s="25">
        <v>0.12684967626984714</v>
      </c>
      <c r="H26" s="19">
        <f t="shared" si="14"/>
        <v>3889.148561378795</v>
      </c>
      <c r="I26" s="15">
        <v>43.05711443990721</v>
      </c>
      <c r="J26" s="15">
        <f t="shared" si="15"/>
        <v>132.01099096607814</v>
      </c>
      <c r="K26" s="26">
        <v>24742.431815161406</v>
      </c>
      <c r="L26" s="15">
        <f t="shared" si="16"/>
        <v>75859.076608318937</v>
      </c>
      <c r="M26" s="15">
        <v>80.478941918354181</v>
      </c>
      <c r="N26" s="15">
        <f t="shared" si="17"/>
        <v>246.74446982207655</v>
      </c>
      <c r="O26" s="27">
        <v>4.3721514772663372</v>
      </c>
      <c r="P26" s="19">
        <f t="shared" si="18"/>
        <v>134.04800964385652</v>
      </c>
      <c r="Q26" s="27">
        <v>1.1700123671557805</v>
      </c>
      <c r="R26" s="19">
        <f t="shared" si="19"/>
        <v>35.872002580750348</v>
      </c>
      <c r="S26" s="27">
        <v>18.033805390812155</v>
      </c>
      <c r="T26" s="15">
        <f t="shared" si="20"/>
        <v>55.290758600488445</v>
      </c>
      <c r="U26" s="27">
        <v>8.9517437401935869</v>
      </c>
      <c r="V26" s="15">
        <f t="shared" si="7"/>
        <v>27.445605154674851</v>
      </c>
      <c r="W26" s="27">
        <v>43.191651432947772</v>
      </c>
      <c r="X26" s="15">
        <f t="shared" si="8"/>
        <v>132.42347475659477</v>
      </c>
      <c r="Y26" s="27">
        <v>17.012410014258062</v>
      </c>
      <c r="Z26" s="15">
        <f t="shared" si="9"/>
        <v>52.159210711573131</v>
      </c>
      <c r="AA26" s="24">
        <v>2575.8786205012025</v>
      </c>
      <c r="AB26" s="15">
        <f t="shared" si="10"/>
        <v>7897.5169080427322</v>
      </c>
      <c r="AC26" s="24">
        <v>291.79874997865181</v>
      </c>
      <c r="AD26" s="15">
        <f t="shared" si="11"/>
        <v>894.64058723921573</v>
      </c>
      <c r="AE26" s="24">
        <v>313.93520687358404</v>
      </c>
      <c r="AF26" s="15">
        <f t="shared" si="12"/>
        <v>962.50987316770795</v>
      </c>
      <c r="AG26" s="24">
        <v>13.784975430025964</v>
      </c>
      <c r="AH26" s="15">
        <f t="shared" si="13"/>
        <v>42.264055328197429</v>
      </c>
    </row>
    <row r="27" spans="1:34" x14ac:dyDescent="0.45">
      <c r="A27" s="11" t="s">
        <v>8</v>
      </c>
      <c r="B27" s="10" t="s">
        <v>6</v>
      </c>
      <c r="C27" s="29" t="s">
        <v>65</v>
      </c>
      <c r="D27" s="29" t="s">
        <v>54</v>
      </c>
      <c r="E27" s="29" t="s">
        <v>45</v>
      </c>
      <c r="F27" s="12">
        <v>1.5329753593952475</v>
      </c>
      <c r="G27" s="25">
        <v>0.12003395457542182</v>
      </c>
      <c r="H27" s="19">
        <f t="shared" si="14"/>
        <v>3680.181893097802</v>
      </c>
      <c r="I27" s="15">
        <v>57.584541427336845</v>
      </c>
      <c r="J27" s="15">
        <f t="shared" si="15"/>
        <v>176.55136618036448</v>
      </c>
      <c r="K27" s="26">
        <v>26031.368042494738</v>
      </c>
      <c r="L27" s="15">
        <f t="shared" si="16"/>
        <v>79810.891560986682</v>
      </c>
      <c r="M27" s="15">
        <v>86.869830475143402</v>
      </c>
      <c r="N27" s="15">
        <f t="shared" si="17"/>
        <v>266.33861918647443</v>
      </c>
      <c r="O27" s="27">
        <v>4.960064196577024</v>
      </c>
      <c r="P27" s="19">
        <f t="shared" si="18"/>
        <v>152.07312388742329</v>
      </c>
      <c r="Q27" s="27">
        <v>1.0367347296124108</v>
      </c>
      <c r="R27" s="19">
        <f t="shared" si="19"/>
        <v>31.785775894502407</v>
      </c>
      <c r="S27" s="27">
        <v>11.546821736622512</v>
      </c>
      <c r="T27" s="15">
        <f t="shared" si="20"/>
        <v>35.401986403143511</v>
      </c>
      <c r="U27" s="27">
        <v>10.230788510355449</v>
      </c>
      <c r="V27" s="15">
        <f t="shared" si="7"/>
        <v>31.367093387117833</v>
      </c>
      <c r="W27" s="27">
        <v>23.674143461160675</v>
      </c>
      <c r="X27" s="15">
        <f t="shared" si="8"/>
        <v>72.583757161494887</v>
      </c>
      <c r="Y27" s="27">
        <v>13.502663869705838</v>
      </c>
      <c r="Z27" s="15">
        <f t="shared" si="9"/>
        <v>41.398501996911072</v>
      </c>
      <c r="AA27" s="24">
        <v>2638.903150197455</v>
      </c>
      <c r="AB27" s="15">
        <f t="shared" si="10"/>
        <v>8090.7470101663903</v>
      </c>
      <c r="AC27" s="24">
        <v>211.91956464300782</v>
      </c>
      <c r="AD27" s="15">
        <f t="shared" si="11"/>
        <v>649.73494154299874</v>
      </c>
      <c r="AE27" s="24">
        <v>340.08044421282688</v>
      </c>
      <c r="AF27" s="15">
        <f t="shared" si="12"/>
        <v>1042.6698823809077</v>
      </c>
      <c r="AG27" s="24">
        <v>10.59597823215039</v>
      </c>
      <c r="AH27" s="15">
        <f t="shared" si="13"/>
        <v>32.486747077149936</v>
      </c>
    </row>
    <row r="28" spans="1:34" x14ac:dyDescent="0.45">
      <c r="A28" s="11" t="s">
        <v>8</v>
      </c>
      <c r="B28" s="10" t="s">
        <v>6</v>
      </c>
      <c r="C28" s="29" t="s">
        <v>65</v>
      </c>
      <c r="D28" s="29" t="s">
        <v>55</v>
      </c>
      <c r="E28" s="29" t="s">
        <v>45</v>
      </c>
      <c r="F28" s="12">
        <v>1.5329753593952475</v>
      </c>
      <c r="G28" s="25">
        <v>0.12781760115401658</v>
      </c>
      <c r="H28" s="19">
        <f t="shared" si="14"/>
        <v>3918.8246613223405</v>
      </c>
      <c r="I28" s="15">
        <v>56.677218094072089</v>
      </c>
      <c r="J28" s="15">
        <f t="shared" si="15"/>
        <v>173.76955755456603</v>
      </c>
      <c r="K28" s="26">
        <v>25211.590117707932</v>
      </c>
      <c r="L28" s="15">
        <f t="shared" si="16"/>
        <v>77297.492843237997</v>
      </c>
      <c r="M28" s="15">
        <v>83.647756359527094</v>
      </c>
      <c r="N28" s="15">
        <f t="shared" si="17"/>
        <v>256.45989873570437</v>
      </c>
      <c r="O28" s="27">
        <v>4.2668446904838451</v>
      </c>
      <c r="P28" s="19">
        <f t="shared" si="18"/>
        <v>130.81935545756355</v>
      </c>
      <c r="Q28" s="27">
        <v>1.1738926780039287</v>
      </c>
      <c r="R28" s="19">
        <f t="shared" si="19"/>
        <v>35.99097099909045</v>
      </c>
      <c r="S28" s="27">
        <v>18.427666247663264</v>
      </c>
      <c r="T28" s="15">
        <f t="shared" si="20"/>
        <v>56.498316577654542</v>
      </c>
      <c r="U28" s="27">
        <v>3.7228309992963462</v>
      </c>
      <c r="V28" s="15">
        <f t="shared" si="7"/>
        <v>11.414016378228172</v>
      </c>
      <c r="W28" s="27">
        <v>32.154451614890228</v>
      </c>
      <c r="X28" s="15">
        <f t="shared" si="8"/>
        <v>98.583964040986913</v>
      </c>
      <c r="Y28" s="27">
        <v>12.969862836258242</v>
      </c>
      <c r="Z28" s="15">
        <f t="shared" si="9"/>
        <v>39.764960285440097</v>
      </c>
      <c r="AA28" s="24">
        <v>2526.421198312803</v>
      </c>
      <c r="AB28" s="15">
        <f t="shared" si="10"/>
        <v>7745.8828889346842</v>
      </c>
      <c r="AC28" s="24">
        <v>229.67465439207305</v>
      </c>
      <c r="AD28" s="15">
        <f t="shared" si="11"/>
        <v>704.1711717213351</v>
      </c>
      <c r="AE28" s="24">
        <v>303.28832567158355</v>
      </c>
      <c r="AF28" s="15">
        <f t="shared" si="12"/>
        <v>929.8670600935576</v>
      </c>
      <c r="AG28" s="24">
        <v>16.980220175140438</v>
      </c>
      <c r="AH28" s="15">
        <f t="shared" si="13"/>
        <v>52.060518251192704</v>
      </c>
    </row>
    <row r="29" spans="1:34" x14ac:dyDescent="0.45">
      <c r="A29" s="11" t="s">
        <v>8</v>
      </c>
      <c r="B29" s="10" t="s">
        <v>6</v>
      </c>
      <c r="C29" s="29" t="s">
        <v>65</v>
      </c>
      <c r="D29" s="29" t="s">
        <v>56</v>
      </c>
      <c r="E29" s="29" t="s">
        <v>45</v>
      </c>
      <c r="F29" s="12">
        <v>1.5329753593952475</v>
      </c>
      <c r="G29" s="25">
        <v>0.13330018438699093</v>
      </c>
      <c r="H29" s="19">
        <f t="shared" si="14"/>
        <v>4086.917961362004</v>
      </c>
      <c r="I29" s="15">
        <v>47.058574580995732</v>
      </c>
      <c r="J29" s="15">
        <f t="shared" si="15"/>
        <v>144.27927056186002</v>
      </c>
      <c r="K29" s="26">
        <v>24814.500461827585</v>
      </c>
      <c r="L29" s="15">
        <f t="shared" si="16"/>
        <v>76080.035527367378</v>
      </c>
      <c r="M29" s="15">
        <v>83.143405929868507</v>
      </c>
      <c r="N29" s="15">
        <f t="shared" si="17"/>
        <v>254.91358517337034</v>
      </c>
      <c r="O29" s="27">
        <v>4.7258395570372018</v>
      </c>
      <c r="P29" s="19">
        <f t="shared" si="18"/>
        <v>144.89191186786766</v>
      </c>
      <c r="Q29" s="27">
        <v>1.2649463482433625</v>
      </c>
      <c r="R29" s="19">
        <f t="shared" si="19"/>
        <v>38.782631656281495</v>
      </c>
      <c r="S29" s="27">
        <v>15.837428645032922</v>
      </c>
      <c r="T29" s="15">
        <f t="shared" si="20"/>
        <v>48.556775738031881</v>
      </c>
      <c r="U29" s="27">
        <v>5.1532060881385338</v>
      </c>
      <c r="V29" s="15">
        <f t="shared" si="7"/>
        <v>15.799475910003897</v>
      </c>
      <c r="W29" s="27">
        <v>28.468198935252641</v>
      </c>
      <c r="X29" s="15">
        <f t="shared" si="8"/>
        <v>87.282094988208669</v>
      </c>
      <c r="Y29" s="27">
        <v>12.777540241934144</v>
      </c>
      <c r="Z29" s="15">
        <f t="shared" si="9"/>
        <v>39.175308689132471</v>
      </c>
      <c r="AA29" s="24">
        <v>2784.9471846631418</v>
      </c>
      <c r="AB29" s="15">
        <f t="shared" si="10"/>
        <v>8538.5108226115281</v>
      </c>
      <c r="AC29" s="24">
        <v>198.26097866344946</v>
      </c>
      <c r="AD29" s="15">
        <f t="shared" si="11"/>
        <v>607.85839004131003</v>
      </c>
      <c r="AE29" s="24">
        <v>283.96754756483648</v>
      </c>
      <c r="AF29" s="15">
        <f t="shared" si="12"/>
        <v>870.63050656958478</v>
      </c>
      <c r="AG29" s="24">
        <v>14.043485988661002</v>
      </c>
      <c r="AH29" s="15">
        <f t="shared" si="13"/>
        <v>43.056635961259452</v>
      </c>
    </row>
    <row r="30" spans="1:34" x14ac:dyDescent="0.45">
      <c r="A30" s="11" t="s">
        <v>8</v>
      </c>
      <c r="B30" s="10" t="s">
        <v>6</v>
      </c>
      <c r="C30" s="29" t="s">
        <v>65</v>
      </c>
      <c r="D30" s="29" t="s">
        <v>57</v>
      </c>
      <c r="E30" s="29" t="s">
        <v>45</v>
      </c>
      <c r="F30" s="12">
        <v>1.5329753593952475</v>
      </c>
      <c r="G30" s="25">
        <v>0.12201100711101417</v>
      </c>
      <c r="H30" s="19">
        <f t="shared" si="14"/>
        <v>3740.7973495236615</v>
      </c>
      <c r="I30" s="15">
        <v>53.432899314430607</v>
      </c>
      <c r="J30" s="15">
        <f t="shared" si="15"/>
        <v>163.82263606013871</v>
      </c>
      <c r="K30" s="26">
        <v>28057.429755840007</v>
      </c>
      <c r="L30" s="15">
        <f t="shared" si="16"/>
        <v>86022.696927331519</v>
      </c>
      <c r="M30" s="15">
        <v>92.011865228710604</v>
      </c>
      <c r="N30" s="15">
        <f t="shared" si="17"/>
        <v>282.10384433521949</v>
      </c>
      <c r="O30" s="27">
        <v>4.193772908253683</v>
      </c>
      <c r="P30" s="19">
        <f t="shared" si="18"/>
        <v>128.57901062504487</v>
      </c>
      <c r="Q30" s="27">
        <v>1.2550707243678907</v>
      </c>
      <c r="R30" s="19">
        <f t="shared" si="19"/>
        <v>38.479849895086424</v>
      </c>
      <c r="S30" s="27">
        <v>14.345239810327215</v>
      </c>
      <c r="T30" s="15">
        <f t="shared" si="20"/>
        <v>43.981798307694753</v>
      </c>
      <c r="U30" s="27">
        <v>3.9599118952506869</v>
      </c>
      <c r="V30" s="15">
        <f t="shared" si="7"/>
        <v>12.140894721590879</v>
      </c>
      <c r="W30" s="27">
        <v>28.682605079113088</v>
      </c>
      <c r="X30" s="15">
        <f t="shared" si="8"/>
        <v>87.939453659090702</v>
      </c>
      <c r="Y30" s="27">
        <v>10.790030201063912</v>
      </c>
      <c r="Z30" s="15">
        <f t="shared" si="9"/>
        <v>33.08170085072306</v>
      </c>
      <c r="AA30" s="24">
        <v>2731.4779151792573</v>
      </c>
      <c r="AB30" s="15">
        <f t="shared" si="10"/>
        <v>8374.5766774042077</v>
      </c>
      <c r="AC30" s="24">
        <v>226.96592237132748</v>
      </c>
      <c r="AD30" s="15">
        <f t="shared" si="11"/>
        <v>695.86633283531944</v>
      </c>
      <c r="AE30" s="24">
        <v>319.85545044607926</v>
      </c>
      <c r="AF30" s="15">
        <f t="shared" si="12"/>
        <v>980.66104820421447</v>
      </c>
      <c r="AG30" s="24">
        <v>10.866322152140775</v>
      </c>
      <c r="AH30" s="15">
        <f t="shared" si="13"/>
        <v>33.315608212965095</v>
      </c>
    </row>
    <row r="31" spans="1:34" x14ac:dyDescent="0.45">
      <c r="A31" s="11" t="s">
        <v>8</v>
      </c>
      <c r="B31" s="10" t="s">
        <v>6</v>
      </c>
      <c r="C31" s="29" t="s">
        <v>65</v>
      </c>
      <c r="D31" s="29" t="s">
        <v>59</v>
      </c>
      <c r="E31" s="29" t="s">
        <v>45</v>
      </c>
      <c r="F31" s="12">
        <v>1.5329753593952475</v>
      </c>
      <c r="G31" s="25">
        <v>0.12681736066977406</v>
      </c>
      <c r="H31" s="19">
        <f t="shared" si="14"/>
        <v>3888.157781006073</v>
      </c>
      <c r="I31" s="15">
        <v>46.995066716494584</v>
      </c>
      <c r="J31" s="15">
        <f t="shared" si="15"/>
        <v>144.08455857904386</v>
      </c>
      <c r="K31" s="26">
        <v>27063.68706958212</v>
      </c>
      <c r="L31" s="15">
        <f t="shared" si="16"/>
        <v>82975.930824106355</v>
      </c>
      <c r="M31" s="15">
        <v>89.593505569699659</v>
      </c>
      <c r="N31" s="15">
        <f t="shared" si="17"/>
        <v>274.68927280038093</v>
      </c>
      <c r="O31" s="27">
        <v>4.145246268578072</v>
      </c>
      <c r="P31" s="19">
        <f t="shared" si="18"/>
        <v>127.09120776710559</v>
      </c>
      <c r="Q31" s="27">
        <v>1.2270753879621656</v>
      </c>
      <c r="R31" s="19">
        <f t="shared" si="19"/>
        <v>37.621526677327282</v>
      </c>
      <c r="S31" s="27">
        <v>13.262290480516119</v>
      </c>
      <c r="T31" s="15">
        <f t="shared" si="20"/>
        <v>40.661529031546749</v>
      </c>
      <c r="U31" s="27">
        <v>7.6363179999376429</v>
      </c>
      <c r="V31" s="15">
        <f t="shared" si="7"/>
        <v>23.412574660821615</v>
      </c>
      <c r="W31" s="27">
        <v>34.348259507004293</v>
      </c>
      <c r="X31" s="15">
        <f t="shared" si="8"/>
        <v>105.31007092470229</v>
      </c>
      <c r="Y31" s="27">
        <v>14.079145239620134</v>
      </c>
      <c r="Z31" s="15">
        <f t="shared" si="9"/>
        <v>43.165965467369141</v>
      </c>
      <c r="AA31" s="24">
        <v>2833.6954256592348</v>
      </c>
      <c r="AB31" s="15">
        <f t="shared" si="10"/>
        <v>8687.9705271332696</v>
      </c>
      <c r="AC31" s="24">
        <v>281.58484985557129</v>
      </c>
      <c r="AD31" s="15">
        <f t="shared" si="11"/>
        <v>863.32527281520254</v>
      </c>
      <c r="AE31" s="24">
        <v>356.93854207044245</v>
      </c>
      <c r="AF31" s="15">
        <f t="shared" si="12"/>
        <v>1094.3559796249046</v>
      </c>
      <c r="AG31" s="24">
        <v>12.294549782426353</v>
      </c>
      <c r="AH31" s="15">
        <f t="shared" si="13"/>
        <v>37.694483742635605</v>
      </c>
    </row>
    <row r="32" spans="1:34" x14ac:dyDescent="0.45">
      <c r="A32" s="11" t="s">
        <v>8</v>
      </c>
      <c r="B32" s="10" t="s">
        <v>6</v>
      </c>
      <c r="C32" s="29" t="s">
        <v>65</v>
      </c>
      <c r="D32" s="29" t="s">
        <v>60</v>
      </c>
      <c r="E32" s="29" t="s">
        <v>45</v>
      </c>
      <c r="F32" s="12">
        <v>1.5329753593952475</v>
      </c>
      <c r="G32" s="25">
        <v>0.11369269557826284</v>
      </c>
      <c r="H32" s="19">
        <f t="shared" si="14"/>
        <v>3485.7620172940392</v>
      </c>
      <c r="I32" s="15">
        <v>43.235120898779947</v>
      </c>
      <c r="J32" s="15">
        <f t="shared" si="15"/>
        <v>132.55674999660837</v>
      </c>
      <c r="K32" s="26">
        <v>27747.913412649821</v>
      </c>
      <c r="L32" s="15">
        <f t="shared" si="16"/>
        <v>85073.735072450159</v>
      </c>
      <c r="M32" s="15">
        <v>88.19104262935214</v>
      </c>
      <c r="N32" s="15">
        <f t="shared" si="17"/>
        <v>270.3893905403454</v>
      </c>
      <c r="O32" s="27">
        <v>5.1938501305777125</v>
      </c>
      <c r="P32" s="19">
        <f t="shared" si="18"/>
        <v>159.24088541134847</v>
      </c>
      <c r="Q32" s="27">
        <v>1.0035925551116298</v>
      </c>
      <c r="R32" s="19">
        <f t="shared" si="19"/>
        <v>30.769653157172915</v>
      </c>
      <c r="S32" s="27">
        <v>10.913333869592705</v>
      </c>
      <c r="T32" s="15">
        <f t="shared" si="20"/>
        <v>33.459743821878419</v>
      </c>
      <c r="U32" s="27">
        <v>2.7627507806410856</v>
      </c>
      <c r="V32" s="15">
        <f t="shared" si="7"/>
        <v>8.4704577417455393</v>
      </c>
      <c r="W32" s="27">
        <v>13.757752198192433</v>
      </c>
      <c r="X32" s="15">
        <f t="shared" si="8"/>
        <v>42.180590240989609</v>
      </c>
      <c r="Y32" s="27">
        <v>8.0735791393734431</v>
      </c>
      <c r="Z32" s="15">
        <f t="shared" si="9"/>
        <v>24.75319576557396</v>
      </c>
      <c r="AA32" s="24">
        <v>2689.0839081694776</v>
      </c>
      <c r="AB32" s="15">
        <f t="shared" si="10"/>
        <v>8244.5987411401657</v>
      </c>
      <c r="AC32" s="24">
        <v>131.24492177385764</v>
      </c>
      <c r="AD32" s="15">
        <f t="shared" si="11"/>
        <v>402.39046225016125</v>
      </c>
      <c r="AE32" s="24">
        <v>300.80952873716279</v>
      </c>
      <c r="AF32" s="15">
        <f t="shared" si="12"/>
        <v>922.26719085073455</v>
      </c>
      <c r="AG32" s="24">
        <v>11.304307130887011</v>
      </c>
      <c r="AH32" s="15">
        <f t="shared" si="13"/>
        <v>34.658448573371558</v>
      </c>
    </row>
    <row r="33" spans="1:34" x14ac:dyDescent="0.45">
      <c r="A33" s="11" t="s">
        <v>8</v>
      </c>
      <c r="B33" s="10" t="s">
        <v>6</v>
      </c>
      <c r="C33" s="29" t="s">
        <v>65</v>
      </c>
      <c r="D33" s="29" t="s">
        <v>61</v>
      </c>
      <c r="E33" s="29" t="s">
        <v>45</v>
      </c>
      <c r="F33" s="12">
        <v>1.5329753593952475</v>
      </c>
      <c r="G33" s="25">
        <v>0.12016519764637931</v>
      </c>
      <c r="H33" s="19">
        <f t="shared" si="14"/>
        <v>3684.205740975186</v>
      </c>
      <c r="I33" s="15">
        <v>43.225978541116497</v>
      </c>
      <c r="J33" s="15">
        <f t="shared" si="15"/>
        <v>132.52871997855868</v>
      </c>
      <c r="K33" s="26">
        <v>25542.623683387021</v>
      </c>
      <c r="L33" s="15">
        <f t="shared" si="16"/>
        <v>78312.425441875574</v>
      </c>
      <c r="M33" s="15">
        <v>84.300014427588678</v>
      </c>
      <c r="N33" s="15">
        <f t="shared" si="17"/>
        <v>258.45968982831465</v>
      </c>
      <c r="O33" s="27">
        <v>4.4574179970523584</v>
      </c>
      <c r="P33" s="19">
        <f t="shared" si="18"/>
        <v>136.66223912012367</v>
      </c>
      <c r="Q33" s="27">
        <v>1.238171665847877</v>
      </c>
      <c r="R33" s="19">
        <f t="shared" si="19"/>
        <v>37.961733088923239</v>
      </c>
      <c r="S33" s="27">
        <v>13.505337265408329</v>
      </c>
      <c r="T33" s="15">
        <f t="shared" si="20"/>
        <v>41.406698496386738</v>
      </c>
      <c r="U33" s="27">
        <v>3.8471722358060227</v>
      </c>
      <c r="V33" s="15">
        <f t="shared" si="7"/>
        <v>11.795240481680315</v>
      </c>
      <c r="W33" s="27">
        <v>31.863197787551584</v>
      </c>
      <c r="X33" s="15">
        <f t="shared" si="8"/>
        <v>97.690994159707515</v>
      </c>
      <c r="Y33" s="27">
        <v>13.525946181848427</v>
      </c>
      <c r="Z33" s="15">
        <f t="shared" si="9"/>
        <v>41.469884418559744</v>
      </c>
      <c r="AA33" s="24">
        <v>2687.8643246114334</v>
      </c>
      <c r="AB33" s="15">
        <f t="shared" si="10"/>
        <v>8240.8595580537549</v>
      </c>
      <c r="AC33" s="24">
        <v>234.22080678955678</v>
      </c>
      <c r="AD33" s="15">
        <f t="shared" si="11"/>
        <v>718.10945093213138</v>
      </c>
      <c r="AE33" s="24">
        <v>311.6065359050491</v>
      </c>
      <c r="AF33" s="15">
        <f t="shared" si="12"/>
        <v>955.37028273790168</v>
      </c>
      <c r="AG33" s="24">
        <v>11.968992769862814</v>
      </c>
      <c r="AH33" s="15">
        <f t="shared" si="13"/>
        <v>36.696341985959144</v>
      </c>
    </row>
    <row r="34" spans="1:34" x14ac:dyDescent="0.45">
      <c r="A34" s="11" t="s">
        <v>8</v>
      </c>
      <c r="B34" s="10" t="s">
        <v>6</v>
      </c>
      <c r="C34" s="29" t="s">
        <v>65</v>
      </c>
      <c r="D34" s="29" t="s">
        <v>62</v>
      </c>
      <c r="E34" s="29" t="s">
        <v>45</v>
      </c>
      <c r="F34" s="12">
        <v>1.5329753593952475</v>
      </c>
      <c r="G34" s="25">
        <v>0.13146930890492445</v>
      </c>
      <c r="H34" s="19">
        <f t="shared" si="14"/>
        <v>4030.7842213594281</v>
      </c>
      <c r="I34" s="15">
        <v>51.980296269086814</v>
      </c>
      <c r="J34" s="15">
        <f t="shared" si="15"/>
        <v>159.36902670914964</v>
      </c>
      <c r="K34" s="26">
        <v>27958.334109780673</v>
      </c>
      <c r="L34" s="15">
        <f t="shared" si="16"/>
        <v>85718.874560066892</v>
      </c>
      <c r="M34" s="15">
        <v>92.353341914979481</v>
      </c>
      <c r="N34" s="15">
        <f t="shared" si="17"/>
        <v>283.15079502693578</v>
      </c>
      <c r="O34" s="27">
        <v>3.9646835487337175</v>
      </c>
      <c r="P34" s="19">
        <f t="shared" si="18"/>
        <v>121.55524376016994</v>
      </c>
      <c r="Q34" s="27">
        <v>1.2293592399174316</v>
      </c>
      <c r="R34" s="19">
        <f t="shared" si="19"/>
        <v>37.691548452765865</v>
      </c>
      <c r="S34" s="27">
        <v>11.641659468915071</v>
      </c>
      <c r="T34" s="15">
        <f t="shared" si="20"/>
        <v>35.692754216634341</v>
      </c>
      <c r="U34" s="27">
        <v>7.7960331647749568</v>
      </c>
      <c r="V34" s="15">
        <f t="shared" ref="V34:V65" si="21">F34*0.2*10000*1000*U34/1000000</f>
        <v>23.90225348525632</v>
      </c>
      <c r="W34" s="27">
        <v>33.281542596831159</v>
      </c>
      <c r="X34" s="15">
        <f t="shared" ref="X34:X65" si="22">F34*0.2*10000*1000*W34/1000000</f>
        <v>102.03956944721099</v>
      </c>
      <c r="Y34" s="27">
        <v>17.808197584511323</v>
      </c>
      <c r="Z34" s="15">
        <f t="shared" ref="Z34:Z65" si="23">F34*0.2*10000*1000*Y34/1000000</f>
        <v>54.599056184595661</v>
      </c>
      <c r="AA34" s="24">
        <v>2724.8787727908434</v>
      </c>
      <c r="AB34" s="15">
        <f t="shared" ref="AB34:AB65" si="24">F34*0.2*10000*1000*AA34/1000000</f>
        <v>8354.3440320550508</v>
      </c>
      <c r="AC34" s="24">
        <v>244.06396674831365</v>
      </c>
      <c r="AD34" s="15">
        <f t="shared" ref="AD34:AD65" si="25">F34*0.2*10000*1000*AC34/1000000</f>
        <v>748.28809428285194</v>
      </c>
      <c r="AE34" s="24">
        <v>351.53246239469047</v>
      </c>
      <c r="AF34" s="15">
        <f t="shared" ref="AF34:AF65" si="26">F34*0.2*10000*1000*AE34/1000000</f>
        <v>1077.7812057571944</v>
      </c>
      <c r="AG34" s="24">
        <v>11.44991448942706</v>
      </c>
      <c r="AH34" s="15">
        <f t="shared" ref="AH34:AH65" si="27">F34*0.2*10000*1000*AG34/1000000</f>
        <v>35.104873558948604</v>
      </c>
    </row>
    <row r="35" spans="1:34" x14ac:dyDescent="0.45">
      <c r="A35" s="11" t="s">
        <v>8</v>
      </c>
      <c r="B35" s="10" t="s">
        <v>6</v>
      </c>
      <c r="C35" s="29" t="s">
        <v>65</v>
      </c>
      <c r="D35" s="29" t="s">
        <v>51</v>
      </c>
      <c r="E35" s="29" t="s">
        <v>46</v>
      </c>
      <c r="F35" s="12">
        <v>1.5329753593952475</v>
      </c>
      <c r="G35" s="25">
        <v>0.11640592996532932</v>
      </c>
      <c r="H35" s="19">
        <f t="shared" si="14"/>
        <v>3568.9484464867755</v>
      </c>
      <c r="I35" s="15">
        <v>44.223672407379709</v>
      </c>
      <c r="J35" s="15">
        <f t="shared" si="15"/>
        <v>135.58760020496123</v>
      </c>
      <c r="K35" s="26">
        <v>25879.772417771535</v>
      </c>
      <c r="L35" s="15">
        <f t="shared" si="16"/>
        <v>79346.10684640109</v>
      </c>
      <c r="M35" s="15">
        <v>85.571814546118134</v>
      </c>
      <c r="N35" s="15">
        <f t="shared" si="17"/>
        <v>262.35896631587786</v>
      </c>
      <c r="O35" s="27">
        <v>4.3454854769761191</v>
      </c>
      <c r="P35" s="19">
        <f t="shared" si="18"/>
        <v>133.23044321628592</v>
      </c>
      <c r="Q35" s="27">
        <v>1.1273665152532386</v>
      </c>
      <c r="R35" s="19">
        <f t="shared" si="19"/>
        <v>34.56450177781003</v>
      </c>
      <c r="S35" s="27">
        <v>13.471227607339422</v>
      </c>
      <c r="T35" s="15">
        <f t="shared" si="20"/>
        <v>41.302119965712677</v>
      </c>
      <c r="U35" s="27">
        <v>5.3030508663030229</v>
      </c>
      <c r="V35" s="15">
        <f t="shared" si="21"/>
        <v>16.258892615324314</v>
      </c>
      <c r="W35" s="27">
        <v>25.470415313247223</v>
      </c>
      <c r="X35" s="15">
        <f t="shared" si="22"/>
        <v>78.091038137542768</v>
      </c>
      <c r="Y35" s="27">
        <v>6.3676038283118057</v>
      </c>
      <c r="Z35" s="15">
        <f t="shared" si="23"/>
        <v>19.522759534385692</v>
      </c>
      <c r="AA35" s="24">
        <v>2747.7751062517259</v>
      </c>
      <c r="AB35" s="15">
        <f t="shared" si="24"/>
        <v>8424.5430620871102</v>
      </c>
      <c r="AC35" s="24">
        <v>186.08414411126887</v>
      </c>
      <c r="AD35" s="15">
        <f t="shared" si="25"/>
        <v>570.52481539345899</v>
      </c>
      <c r="AE35" s="24">
        <v>298.34142670013216</v>
      </c>
      <c r="AF35" s="15">
        <f t="shared" si="26"/>
        <v>914.70011163625213</v>
      </c>
      <c r="AG35" s="24">
        <v>20.024272029364806</v>
      </c>
      <c r="AH35" s="15">
        <f t="shared" si="27"/>
        <v>61.393431221687443</v>
      </c>
    </row>
    <row r="36" spans="1:34" x14ac:dyDescent="0.45">
      <c r="A36" s="11" t="s">
        <v>8</v>
      </c>
      <c r="B36" s="10" t="s">
        <v>6</v>
      </c>
      <c r="C36" s="29" t="s">
        <v>65</v>
      </c>
      <c r="D36" s="29" t="s">
        <v>52</v>
      </c>
      <c r="E36" s="29" t="s">
        <v>46</v>
      </c>
      <c r="F36" s="12">
        <v>1.5329753593952475</v>
      </c>
      <c r="G36" s="25">
        <v>0.12533462196762832</v>
      </c>
      <c r="H36" s="19">
        <f t="shared" si="14"/>
        <v>3842.6977431098508</v>
      </c>
      <c r="I36" s="15">
        <v>45.685567537084545</v>
      </c>
      <c r="J36" s="15">
        <f t="shared" si="15"/>
        <v>140.06969862867609</v>
      </c>
      <c r="K36" s="26">
        <v>25674.533822493795</v>
      </c>
      <c r="L36" s="15">
        <f t="shared" si="16"/>
        <v>78716.855427685747</v>
      </c>
      <c r="M36" s="15">
        <v>85.04689328701069</v>
      </c>
      <c r="N36" s="15">
        <f t="shared" si="17"/>
        <v>260.74958360420902</v>
      </c>
      <c r="O36" s="27">
        <v>4.0858830691790473</v>
      </c>
      <c r="P36" s="19">
        <f t="shared" si="18"/>
        <v>125.27116132843416</v>
      </c>
      <c r="Q36" s="27">
        <v>1.2524566191955875</v>
      </c>
      <c r="R36" s="19">
        <f t="shared" si="19"/>
        <v>38.39970271876625</v>
      </c>
      <c r="S36" s="27">
        <v>17.452973836321306</v>
      </c>
      <c r="T36" s="15">
        <f t="shared" si="20"/>
        <v>53.509957678501024</v>
      </c>
      <c r="U36" s="27">
        <v>4.3539993825186007</v>
      </c>
      <c r="V36" s="15">
        <f t="shared" si="21"/>
        <v>13.34914753644628</v>
      </c>
      <c r="W36" s="27">
        <v>27.707268797845643</v>
      </c>
      <c r="X36" s="15">
        <f t="shared" si="22"/>
        <v>84.94912068647632</v>
      </c>
      <c r="Y36" s="27">
        <v>17.415997530074403</v>
      </c>
      <c r="Z36" s="15">
        <f t="shared" si="23"/>
        <v>53.396590145785119</v>
      </c>
      <c r="AA36" s="24">
        <v>2597.1101553464623</v>
      </c>
      <c r="AB36" s="15">
        <f t="shared" si="24"/>
        <v>7962.6117475625824</v>
      </c>
      <c r="AC36" s="24">
        <v>230.98585190082557</v>
      </c>
      <c r="AD36" s="15">
        <f t="shared" si="25"/>
        <v>708.19123866577115</v>
      </c>
      <c r="AE36" s="24">
        <v>329.69775442254587</v>
      </c>
      <c r="AF36" s="15">
        <f t="shared" si="26"/>
        <v>1010.8370671554169</v>
      </c>
      <c r="AG36" s="24">
        <v>39.089913398601254</v>
      </c>
      <c r="AH36" s="15">
        <f t="shared" si="27"/>
        <v>119.84774808189975</v>
      </c>
    </row>
    <row r="37" spans="1:34" x14ac:dyDescent="0.45">
      <c r="A37" s="11" t="s">
        <v>8</v>
      </c>
      <c r="B37" s="10" t="s">
        <v>6</v>
      </c>
      <c r="C37" s="29" t="s">
        <v>65</v>
      </c>
      <c r="D37" s="29" t="s">
        <v>53</v>
      </c>
      <c r="E37" s="29" t="s">
        <v>46</v>
      </c>
      <c r="F37" s="12">
        <v>1.5329753593952475</v>
      </c>
      <c r="G37" s="25">
        <v>0.13137936738038541</v>
      </c>
      <c r="H37" s="19">
        <f t="shared" si="14"/>
        <v>4028.0266585413324</v>
      </c>
      <c r="I37" s="15">
        <v>46.378801105544724</v>
      </c>
      <c r="J37" s="15">
        <f t="shared" si="15"/>
        <v>142.19511858618628</v>
      </c>
      <c r="K37" s="26">
        <v>23630.636504093614</v>
      </c>
      <c r="L37" s="15">
        <f t="shared" si="16"/>
        <v>72450.366975202749</v>
      </c>
      <c r="M37" s="15">
        <v>87.266665927980569</v>
      </c>
      <c r="N37" s="15">
        <f t="shared" si="17"/>
        <v>267.55529712834209</v>
      </c>
      <c r="O37" s="27">
        <v>4.558261534449394</v>
      </c>
      <c r="P37" s="19">
        <f t="shared" si="18"/>
        <v>139.75405227980187</v>
      </c>
      <c r="Q37" s="27">
        <v>1.2644841840530758</v>
      </c>
      <c r="R37" s="19">
        <f t="shared" si="19"/>
        <v>38.768461929967408</v>
      </c>
      <c r="S37" s="27">
        <v>14.835413319920839</v>
      </c>
      <c r="T37" s="15">
        <f t="shared" si="20"/>
        <v>45.484646131765395</v>
      </c>
      <c r="U37" s="27">
        <v>5.3952085265956375</v>
      </c>
      <c r="V37" s="15">
        <f t="shared" si="21"/>
        <v>16.541443460140506</v>
      </c>
      <c r="W37" s="27">
        <v>36.972447865274248</v>
      </c>
      <c r="X37" s="15">
        <f t="shared" si="22"/>
        <v>113.35570310798171</v>
      </c>
      <c r="Y37" s="27">
        <v>24.400594034433475</v>
      </c>
      <c r="Z37" s="15">
        <f t="shared" si="23"/>
        <v>74.811018818786394</v>
      </c>
      <c r="AA37" s="24">
        <v>2577.3562828026797</v>
      </c>
      <c r="AB37" s="15">
        <f t="shared" si="24"/>
        <v>7902.0473478380763</v>
      </c>
      <c r="AC37" s="24">
        <v>211.94706437322267</v>
      </c>
      <c r="AD37" s="15">
        <f t="shared" si="25"/>
        <v>649.81925436061749</v>
      </c>
      <c r="AE37" s="24">
        <v>290.92733836135756</v>
      </c>
      <c r="AF37" s="15">
        <f t="shared" si="26"/>
        <v>891.96888216481</v>
      </c>
      <c r="AG37" s="24">
        <v>15.896029827991701</v>
      </c>
      <c r="AH37" s="15">
        <f t="shared" si="27"/>
        <v>48.736444077046315</v>
      </c>
    </row>
    <row r="38" spans="1:34" x14ac:dyDescent="0.45">
      <c r="A38" s="11" t="s">
        <v>8</v>
      </c>
      <c r="B38" s="10" t="s">
        <v>6</v>
      </c>
      <c r="C38" s="29" t="s">
        <v>65</v>
      </c>
      <c r="D38" s="29" t="s">
        <v>54</v>
      </c>
      <c r="E38" s="29" t="s">
        <v>46</v>
      </c>
      <c r="F38" s="12">
        <v>1.5329753593952475</v>
      </c>
      <c r="G38" s="25">
        <v>0.11590933516702154</v>
      </c>
      <c r="H38" s="19">
        <f t="shared" si="14"/>
        <v>3553.723094698581</v>
      </c>
      <c r="I38" s="15">
        <v>39.319604066551165</v>
      </c>
      <c r="J38" s="15">
        <f t="shared" si="15"/>
        <v>120.55196835040024</v>
      </c>
      <c r="K38" s="26">
        <v>25103.362779331295</v>
      </c>
      <c r="L38" s="15">
        <f t="shared" si="16"/>
        <v>76965.67315734936</v>
      </c>
      <c r="M38" s="15">
        <v>83.138018667032682</v>
      </c>
      <c r="N38" s="15">
        <f t="shared" si="17"/>
        <v>254.89706809100653</v>
      </c>
      <c r="O38" s="27">
        <v>4.9784629159127105</v>
      </c>
      <c r="P38" s="19">
        <f t="shared" si="18"/>
        <v>152.63721955514401</v>
      </c>
      <c r="Q38" s="27">
        <v>0.92574723643004952</v>
      </c>
      <c r="R38" s="19">
        <f t="shared" si="19"/>
        <v>28.382954049510253</v>
      </c>
      <c r="S38" s="27">
        <v>13.414395884524769</v>
      </c>
      <c r="T38" s="15">
        <f t="shared" si="20"/>
        <v>41.127876704298977</v>
      </c>
      <c r="U38" s="27">
        <v>6.0247179202957142</v>
      </c>
      <c r="V38" s="15">
        <f t="shared" si="21"/>
        <v>18.471488238240624</v>
      </c>
      <c r="W38" s="27">
        <v>22.33647407015836</v>
      </c>
      <c r="X38" s="15">
        <f t="shared" si="22"/>
        <v>68.482528730647289</v>
      </c>
      <c r="Y38" s="27">
        <v>8.0840412157863</v>
      </c>
      <c r="Z38" s="15">
        <f t="shared" si="23"/>
        <v>24.785271976271996</v>
      </c>
      <c r="AA38" s="24">
        <v>2653.8087444328089</v>
      </c>
      <c r="AB38" s="15">
        <f t="shared" si="24"/>
        <v>8136.4468275262734</v>
      </c>
      <c r="AC38" s="24">
        <v>173.83475884075375</v>
      </c>
      <c r="AD38" s="15">
        <f t="shared" si="25"/>
        <v>532.96880381858148</v>
      </c>
      <c r="AE38" s="24">
        <v>329.15457295290651</v>
      </c>
      <c r="AF38" s="15">
        <f t="shared" si="26"/>
        <v>1009.1716995381423</v>
      </c>
      <c r="AG38" s="28">
        <v>577.04911070806418</v>
      </c>
      <c r="AH38" s="15">
        <f t="shared" si="27"/>
        <v>1769.2041357528058</v>
      </c>
    </row>
    <row r="39" spans="1:34" x14ac:dyDescent="0.45">
      <c r="A39" s="11" t="s">
        <v>8</v>
      </c>
      <c r="B39" s="10" t="s">
        <v>6</v>
      </c>
      <c r="C39" s="29" t="s">
        <v>65</v>
      </c>
      <c r="D39" s="29" t="s">
        <v>55</v>
      </c>
      <c r="E39" s="29" t="s">
        <v>46</v>
      </c>
      <c r="F39" s="12">
        <v>1.5329753593952475</v>
      </c>
      <c r="G39" s="25">
        <v>0.13352979203440246</v>
      </c>
      <c r="H39" s="19">
        <f t="shared" si="14"/>
        <v>4093.957618678216</v>
      </c>
      <c r="I39" s="15">
        <v>44.68159996722877</v>
      </c>
      <c r="J39" s="15">
        <f t="shared" si="15"/>
        <v>136.99158353623443</v>
      </c>
      <c r="K39" s="26">
        <v>25439.834349871453</v>
      </c>
      <c r="L39" s="15">
        <f t="shared" si="16"/>
        <v>77997.278410899526</v>
      </c>
      <c r="M39" s="15">
        <v>85.01530097284315</v>
      </c>
      <c r="N39" s="15">
        <f t="shared" si="17"/>
        <v>260.65272312587877</v>
      </c>
      <c r="O39" s="27">
        <v>4.6461740812299954</v>
      </c>
      <c r="P39" s="19">
        <f t="shared" si="18"/>
        <v>142.44940763972875</v>
      </c>
      <c r="Q39" s="27">
        <v>1.2810020442778545</v>
      </c>
      <c r="R39" s="19">
        <f t="shared" si="19"/>
        <v>39.27489138425782</v>
      </c>
      <c r="S39" s="27">
        <v>20.195886592536191</v>
      </c>
      <c r="T39" s="15">
        <f t="shared" si="20"/>
        <v>61.919593014997666</v>
      </c>
      <c r="U39" s="27">
        <v>6.8053339935604669</v>
      </c>
      <c r="V39" s="15">
        <f t="shared" si="21"/>
        <v>20.864818649166107</v>
      </c>
      <c r="W39" s="27">
        <v>80.001562047155815</v>
      </c>
      <c r="X39" s="15">
        <f t="shared" si="22"/>
        <v>245.28084666283982</v>
      </c>
      <c r="Y39" s="27">
        <v>13.037075550520838</v>
      </c>
      <c r="Z39" s="15">
        <f t="shared" si="23"/>
        <v>39.97103115504536</v>
      </c>
      <c r="AA39" s="24">
        <v>2530.1612704439799</v>
      </c>
      <c r="AB39" s="15">
        <f t="shared" si="24"/>
        <v>7757.3497657735943</v>
      </c>
      <c r="AC39" s="24">
        <v>426.80885722045912</v>
      </c>
      <c r="AD39" s="15">
        <f t="shared" si="25"/>
        <v>1308.5749225812169</v>
      </c>
      <c r="AE39" s="24">
        <v>292.5319133758203</v>
      </c>
      <c r="AF39" s="15">
        <f t="shared" si="26"/>
        <v>896.88843008375522</v>
      </c>
      <c r="AG39" s="24">
        <v>22.347519939857747</v>
      </c>
      <c r="AH39" s="15">
        <f t="shared" si="27"/>
        <v>68.516394822791796</v>
      </c>
    </row>
    <row r="40" spans="1:34" x14ac:dyDescent="0.45">
      <c r="A40" s="11" t="s">
        <v>8</v>
      </c>
      <c r="B40" s="10" t="s">
        <v>6</v>
      </c>
      <c r="C40" s="29" t="s">
        <v>65</v>
      </c>
      <c r="D40" s="29" t="s">
        <v>56</v>
      </c>
      <c r="E40" s="29" t="s">
        <v>46</v>
      </c>
      <c r="F40" s="12">
        <v>1.5329753593952475</v>
      </c>
      <c r="G40" s="25">
        <v>0.11432274776778498</v>
      </c>
      <c r="H40" s="19">
        <f t="shared" si="14"/>
        <v>3505.0791069274487</v>
      </c>
      <c r="I40" s="15">
        <v>46.645216077555531</v>
      </c>
      <c r="J40" s="15">
        <f t="shared" si="15"/>
        <v>143.01193376111937</v>
      </c>
      <c r="K40" s="26">
        <v>26285.726273212647</v>
      </c>
      <c r="L40" s="15">
        <f t="shared" si="16"/>
        <v>80590.741361286535</v>
      </c>
      <c r="M40" s="15">
        <v>94.533030124390223</v>
      </c>
      <c r="N40" s="15">
        <f t="shared" si="17"/>
        <v>289.8336116593178</v>
      </c>
      <c r="O40" s="27">
        <v>4.6667009334247505</v>
      </c>
      <c r="P40" s="19">
        <f t="shared" si="18"/>
        <v>143.07875081213891</v>
      </c>
      <c r="Q40" s="27">
        <v>1.1208233682897872</v>
      </c>
      <c r="R40" s="19">
        <f t="shared" si="19"/>
        <v>34.363892116452575</v>
      </c>
      <c r="S40" s="27">
        <v>10.943973078353679</v>
      </c>
      <c r="T40" s="15">
        <f t="shared" si="20"/>
        <v>33.553682126002293</v>
      </c>
      <c r="U40" s="27">
        <v>6.5351847042409217</v>
      </c>
      <c r="V40" s="15">
        <f t="shared" si="21"/>
        <v>20.036554241396107</v>
      </c>
      <c r="W40" s="27">
        <v>21.555331858066008</v>
      </c>
      <c r="X40" s="15">
        <f t="shared" si="22"/>
        <v>66.087585204005151</v>
      </c>
      <c r="Y40" s="27">
        <v>8.2596112528862022</v>
      </c>
      <c r="Z40" s="15">
        <f t="shared" si="23"/>
        <v>25.323561057716518</v>
      </c>
      <c r="AA40" s="24">
        <v>2807.4841830206929</v>
      </c>
      <c r="AB40" s="15">
        <f t="shared" si="24"/>
        <v>8607.608148925241</v>
      </c>
      <c r="AC40" s="24">
        <v>174.36637806669648</v>
      </c>
      <c r="AD40" s="15">
        <f t="shared" si="25"/>
        <v>534.59872216648341</v>
      </c>
      <c r="AE40" s="24">
        <v>306.99612308551343</v>
      </c>
      <c r="AF40" s="15">
        <f t="shared" si="26"/>
        <v>941.23498423992544</v>
      </c>
      <c r="AG40" s="24">
        <v>11.222516886207593</v>
      </c>
      <c r="AH40" s="15">
        <f t="shared" si="27"/>
        <v>34.407683713906643</v>
      </c>
    </row>
    <row r="41" spans="1:34" x14ac:dyDescent="0.45">
      <c r="A41" s="11" t="s">
        <v>8</v>
      </c>
      <c r="B41" s="10" t="s">
        <v>6</v>
      </c>
      <c r="C41" s="29" t="s">
        <v>65</v>
      </c>
      <c r="D41" s="29" t="s">
        <v>57</v>
      </c>
      <c r="E41" s="29" t="s">
        <v>46</v>
      </c>
      <c r="F41" s="12">
        <v>1.5329753593952475</v>
      </c>
      <c r="G41" s="25">
        <v>0.11751523129970202</v>
      </c>
      <c r="H41" s="19">
        <f t="shared" si="14"/>
        <v>3602.9590787215279</v>
      </c>
      <c r="I41" s="15">
        <v>49.098689933739863</v>
      </c>
      <c r="J41" s="15">
        <f t="shared" si="15"/>
        <v>150.5341636940214</v>
      </c>
      <c r="K41" s="26">
        <v>26937.413543413702</v>
      </c>
      <c r="L41" s="15">
        <f t="shared" si="16"/>
        <v>82588.782415786074</v>
      </c>
      <c r="M41" s="15">
        <v>86.257036984760887</v>
      </c>
      <c r="N41" s="15">
        <f t="shared" si="17"/>
        <v>264.45982454416605</v>
      </c>
      <c r="O41" s="27">
        <v>4.0093856468051685</v>
      </c>
      <c r="P41" s="19">
        <f t="shared" si="18"/>
        <v>122.92578805730602</v>
      </c>
      <c r="Q41" s="27">
        <v>1.0616111095653789</v>
      </c>
      <c r="R41" s="19">
        <f t="shared" si="19"/>
        <v>32.548473444479484</v>
      </c>
      <c r="S41" s="27">
        <v>11.971923871241295</v>
      </c>
      <c r="T41" s="15">
        <f t="shared" si="20"/>
        <v>36.705328598337346</v>
      </c>
      <c r="U41" s="27">
        <v>11.798874168887608</v>
      </c>
      <c r="V41" s="15">
        <f t="shared" si="21"/>
        <v>36.174766739019574</v>
      </c>
      <c r="W41" s="27">
        <v>29.103889616589427</v>
      </c>
      <c r="X41" s="15">
        <f t="shared" si="22"/>
        <v>89.231091289581599</v>
      </c>
      <c r="Y41" s="27">
        <v>9.1122041200413388</v>
      </c>
      <c r="Z41" s="15">
        <f t="shared" si="23"/>
        <v>27.937568771606461</v>
      </c>
      <c r="AA41" s="24">
        <v>2753.560130940089</v>
      </c>
      <c r="AB41" s="15">
        <f t="shared" si="24"/>
        <v>8442.2796626886175</v>
      </c>
      <c r="AC41" s="24">
        <v>225.33721438518893</v>
      </c>
      <c r="AD41" s="15">
        <f t="shared" si="25"/>
        <v>690.87279441451801</v>
      </c>
      <c r="AE41" s="24">
        <v>344.5739466607597</v>
      </c>
      <c r="AF41" s="15">
        <f t="shared" si="26"/>
        <v>1056.4467394410342</v>
      </c>
      <c r="AG41" s="24">
        <v>50.321942943418861</v>
      </c>
      <c r="AH41" s="15">
        <f t="shared" si="27"/>
        <v>154.28459713830935</v>
      </c>
    </row>
    <row r="42" spans="1:34" x14ac:dyDescent="0.45">
      <c r="A42" s="11" t="s">
        <v>8</v>
      </c>
      <c r="B42" s="10" t="s">
        <v>6</v>
      </c>
      <c r="C42" s="29" t="s">
        <v>65</v>
      </c>
      <c r="D42" s="29" t="s">
        <v>59</v>
      </c>
      <c r="E42" s="29" t="s">
        <v>46</v>
      </c>
      <c r="F42" s="12">
        <v>1.5329753593952475</v>
      </c>
      <c r="G42" s="25">
        <v>0.12547985139476214</v>
      </c>
      <c r="H42" s="19">
        <f t="shared" si="14"/>
        <v>3847.1504057749557</v>
      </c>
      <c r="I42" s="15">
        <v>44.874165651321292</v>
      </c>
      <c r="J42" s="15">
        <f t="shared" si="15"/>
        <v>137.5819804337923</v>
      </c>
      <c r="K42" s="26">
        <v>26474.73554371803</v>
      </c>
      <c r="L42" s="15">
        <f t="shared" si="16"/>
        <v>81170.234470050578</v>
      </c>
      <c r="M42" s="15">
        <v>86.272883393428629</v>
      </c>
      <c r="N42" s="15">
        <f t="shared" si="17"/>
        <v>264.50840885221112</v>
      </c>
      <c r="O42" s="27">
        <v>5.2484660595295534</v>
      </c>
      <c r="P42" s="19">
        <f t="shared" si="18"/>
        <v>160.91538287762154</v>
      </c>
      <c r="Q42" s="27">
        <v>1.2119745499500729</v>
      </c>
      <c r="R42" s="19">
        <f t="shared" si="19"/>
        <v>37.158542425752131</v>
      </c>
      <c r="S42" s="27">
        <v>18.242740042256951</v>
      </c>
      <c r="T42" s="15">
        <f t="shared" si="20"/>
        <v>55.931341945265856</v>
      </c>
      <c r="U42" s="27">
        <v>7.1323609501535614</v>
      </c>
      <c r="V42" s="15">
        <f t="shared" si="21"/>
        <v>21.867467181796577</v>
      </c>
      <c r="W42" s="27">
        <v>24.522707870228889</v>
      </c>
      <c r="X42" s="15">
        <f t="shared" si="22"/>
        <v>75.185413821417612</v>
      </c>
      <c r="Y42" s="27">
        <v>13.977201497895209</v>
      </c>
      <c r="Z42" s="15">
        <f t="shared" si="23"/>
        <v>42.853410979151406</v>
      </c>
      <c r="AA42" s="24">
        <v>2788.1406048463018</v>
      </c>
      <c r="AB42" s="15">
        <f t="shared" si="24"/>
        <v>8548.3016915174867</v>
      </c>
      <c r="AC42" s="24">
        <v>205.41941524577507</v>
      </c>
      <c r="AD42" s="15">
        <f t="shared" si="25"/>
        <v>629.8058038263074</v>
      </c>
      <c r="AE42" s="24">
        <v>343.4355848640302</v>
      </c>
      <c r="AF42" s="15">
        <f t="shared" si="26"/>
        <v>1052.9565782721077</v>
      </c>
      <c r="AG42" s="24">
        <v>14.657531192016243</v>
      </c>
      <c r="AH42" s="15">
        <f t="shared" si="27"/>
        <v>44.939268293856315</v>
      </c>
    </row>
    <row r="43" spans="1:34" x14ac:dyDescent="0.45">
      <c r="A43" s="11" t="s">
        <v>8</v>
      </c>
      <c r="B43" s="10" t="s">
        <v>6</v>
      </c>
      <c r="C43" s="29" t="s">
        <v>65</v>
      </c>
      <c r="D43" s="29" t="s">
        <v>60</v>
      </c>
      <c r="E43" s="29" t="s">
        <v>46</v>
      </c>
      <c r="F43" s="12">
        <v>1.5329753593952475</v>
      </c>
      <c r="G43" s="25">
        <v>0.12629828769301898</v>
      </c>
      <c r="H43" s="19">
        <f t="shared" si="14"/>
        <v>3872.2432593442036</v>
      </c>
      <c r="I43" s="15">
        <v>42.354873208781527</v>
      </c>
      <c r="J43" s="15">
        <f t="shared" si="15"/>
        <v>129.85795395874405</v>
      </c>
      <c r="K43" s="26">
        <v>27258.086718522758</v>
      </c>
      <c r="L43" s="15">
        <f t="shared" si="16"/>
        <v>83571.950567508509</v>
      </c>
      <c r="M43" s="15">
        <v>88.798459425341449</v>
      </c>
      <c r="N43" s="15">
        <f t="shared" si="17"/>
        <v>272.25170050261426</v>
      </c>
      <c r="O43" s="27">
        <v>4.841505879011561</v>
      </c>
      <c r="P43" s="19">
        <f t="shared" si="18"/>
        <v>148.43818429783906</v>
      </c>
      <c r="Q43" s="27">
        <v>1.2308913251724307</v>
      </c>
      <c r="R43" s="19">
        <f t="shared" si="19"/>
        <v>37.738521431653993</v>
      </c>
      <c r="S43" s="27">
        <v>15.933674189322996</v>
      </c>
      <c r="T43" s="15">
        <f t="shared" si="20"/>
        <v>48.851859833728412</v>
      </c>
      <c r="U43" s="27">
        <v>7.3571883621551777</v>
      </c>
      <c r="V43" s="15">
        <f t="shared" si="21"/>
        <v>22.556776947226737</v>
      </c>
      <c r="W43" s="27">
        <v>36.081952088790686</v>
      </c>
      <c r="X43" s="15">
        <f t="shared" si="22"/>
        <v>110.62548694199202</v>
      </c>
      <c r="Y43" s="27">
        <v>13.990556305931207</v>
      </c>
      <c r="Z43" s="15">
        <f t="shared" si="23"/>
        <v>42.894356162448688</v>
      </c>
      <c r="AA43" s="24">
        <v>2453.5767081770455</v>
      </c>
      <c r="AB43" s="15">
        <f t="shared" si="24"/>
        <v>7522.5452720430303</v>
      </c>
      <c r="AC43" s="24">
        <v>250.28123611839428</v>
      </c>
      <c r="AD43" s="15">
        <f t="shared" si="25"/>
        <v>767.34993577696468</v>
      </c>
      <c r="AE43" s="24">
        <v>294.38817527040635</v>
      </c>
      <c r="AF43" s="15">
        <f t="shared" si="26"/>
        <v>902.57963757372477</v>
      </c>
      <c r="AG43" s="24">
        <v>15.18099301045998</v>
      </c>
      <c r="AH43" s="15">
        <f t="shared" si="27"/>
        <v>46.54417643237327</v>
      </c>
    </row>
    <row r="44" spans="1:34" x14ac:dyDescent="0.45">
      <c r="A44" s="11" t="s">
        <v>8</v>
      </c>
      <c r="B44" s="10" t="s">
        <v>6</v>
      </c>
      <c r="C44" s="29" t="s">
        <v>65</v>
      </c>
      <c r="D44" s="29" t="s">
        <v>61</v>
      </c>
      <c r="E44" s="29" t="s">
        <v>46</v>
      </c>
      <c r="F44" s="12">
        <v>1.5329753593952475</v>
      </c>
      <c r="G44" s="25">
        <v>0.13224037215646089</v>
      </c>
      <c r="H44" s="19">
        <f t="shared" si="14"/>
        <v>4054.4246406622387</v>
      </c>
      <c r="I44" s="15">
        <v>44.146314744023094</v>
      </c>
      <c r="J44" s="15">
        <f t="shared" si="15"/>
        <v>135.35042542138908</v>
      </c>
      <c r="K44" s="26">
        <v>26058.588564180296</v>
      </c>
      <c r="L44" s="15">
        <f t="shared" si="16"/>
        <v>79894.348339014367</v>
      </c>
      <c r="M44" s="15">
        <v>88.088248401268302</v>
      </c>
      <c r="N44" s="15">
        <f t="shared" si="17"/>
        <v>270.07422850286429</v>
      </c>
      <c r="O44" s="27">
        <v>4.2391498732948181</v>
      </c>
      <c r="P44" s="19">
        <f t="shared" si="18"/>
        <v>129.97024601088887</v>
      </c>
      <c r="Q44" s="27">
        <v>1.1980206163659266</v>
      </c>
      <c r="R44" s="19">
        <f t="shared" si="19"/>
        <v>36.730721698729454</v>
      </c>
      <c r="S44" s="27">
        <v>10.878312685979445</v>
      </c>
      <c r="T44" s="15">
        <f t="shared" si="20"/>
        <v>33.352370598806445</v>
      </c>
      <c r="U44" s="27">
        <v>5.9591084506806657</v>
      </c>
      <c r="V44" s="15">
        <f t="shared" si="21"/>
        <v>18.270332837714903</v>
      </c>
      <c r="W44" s="27">
        <v>28.923477602084201</v>
      </c>
      <c r="X44" s="15">
        <f t="shared" si="22"/>
        <v>88.677956944030868</v>
      </c>
      <c r="Y44" s="27">
        <v>12.761212730969815</v>
      </c>
      <c r="Z44" s="15">
        <f t="shared" si="23"/>
        <v>39.125249345155332</v>
      </c>
      <c r="AA44" s="24">
        <v>2783.3697258928946</v>
      </c>
      <c r="AB44" s="15">
        <f t="shared" si="24"/>
        <v>8533.6744117610251</v>
      </c>
      <c r="AC44" s="24">
        <v>219.55834767390007</v>
      </c>
      <c r="AD44" s="15">
        <f t="shared" si="25"/>
        <v>673.15507386724744</v>
      </c>
      <c r="AE44" s="24">
        <v>338.6909040350746</v>
      </c>
      <c r="AF44" s="15">
        <f t="shared" si="26"/>
        <v>1038.4096206741397</v>
      </c>
      <c r="AG44" s="24">
        <v>12.996278875764489</v>
      </c>
      <c r="AH44" s="15">
        <f t="shared" si="27"/>
        <v>39.845950560751874</v>
      </c>
    </row>
    <row r="45" spans="1:34" x14ac:dyDescent="0.45">
      <c r="A45" s="11" t="s">
        <v>8</v>
      </c>
      <c r="B45" s="10" t="s">
        <v>6</v>
      </c>
      <c r="C45" s="29" t="s">
        <v>65</v>
      </c>
      <c r="D45" s="29" t="s">
        <v>62</v>
      </c>
      <c r="E45" s="29" t="s">
        <v>46</v>
      </c>
      <c r="F45" s="12">
        <v>1.5329753593952475</v>
      </c>
      <c r="G45" s="25">
        <v>0.13514116142773885</v>
      </c>
      <c r="H45" s="19">
        <f t="shared" si="14"/>
        <v>4143.3614101755829</v>
      </c>
      <c r="I45" s="15">
        <v>42.780806294777392</v>
      </c>
      <c r="J45" s="15">
        <f t="shared" si="15"/>
        <v>131.16384380990971</v>
      </c>
      <c r="K45" s="26">
        <v>26763.348013794388</v>
      </c>
      <c r="L45" s="15">
        <f t="shared" si="16"/>
        <v>82055.10608013309</v>
      </c>
      <c r="M45" s="15">
        <v>89.819417955385717</v>
      </c>
      <c r="N45" s="15">
        <f t="shared" si="17"/>
        <v>275.38190904165884</v>
      </c>
      <c r="O45" s="27">
        <v>4.0534307082710415</v>
      </c>
      <c r="P45" s="19">
        <f t="shared" si="18"/>
        <v>124.27618793591067</v>
      </c>
      <c r="Q45" s="27">
        <v>1.3132288264041383</v>
      </c>
      <c r="R45" s="19">
        <f t="shared" si="19"/>
        <v>40.262948642501669</v>
      </c>
      <c r="S45" s="27">
        <v>11.148475180913731</v>
      </c>
      <c r="T45" s="15">
        <f t="shared" si="20"/>
        <v>34.180675494340456</v>
      </c>
      <c r="U45" s="27">
        <v>4.2220397764689199</v>
      </c>
      <c r="V45" s="15">
        <f t="shared" si="21"/>
        <v>12.94456588742695</v>
      </c>
      <c r="W45" s="27">
        <v>49.002500779701627</v>
      </c>
      <c r="X45" s="15">
        <f t="shared" si="22"/>
        <v>150.23925248805804</v>
      </c>
      <c r="Y45" s="27">
        <v>24.650931506620495</v>
      </c>
      <c r="Z45" s="15">
        <f t="shared" si="23"/>
        <v>75.578541171578379</v>
      </c>
      <c r="AA45" s="24">
        <v>2581.9939996308135</v>
      </c>
      <c r="AB45" s="15">
        <f t="shared" si="24"/>
        <v>7916.2663590808397</v>
      </c>
      <c r="AC45" s="24">
        <v>344.334802513841</v>
      </c>
      <c r="AD45" s="15">
        <f t="shared" si="25"/>
        <v>1055.7135352718942</v>
      </c>
      <c r="AE45" s="24">
        <v>358.81134075766613</v>
      </c>
      <c r="AF45" s="15">
        <f t="shared" si="26"/>
        <v>1100.097888106148</v>
      </c>
      <c r="AG45" s="24">
        <v>34.433480251384097</v>
      </c>
      <c r="AH45" s="15">
        <f t="shared" si="27"/>
        <v>105.57135352718942</v>
      </c>
    </row>
    <row r="46" spans="1:34" x14ac:dyDescent="0.45">
      <c r="A46" s="11" t="s">
        <v>8</v>
      </c>
      <c r="B46" s="10" t="s">
        <v>6</v>
      </c>
      <c r="C46" s="29" t="s">
        <v>65</v>
      </c>
      <c r="D46" s="29" t="s">
        <v>51</v>
      </c>
      <c r="E46" s="29" t="s">
        <v>47</v>
      </c>
      <c r="F46" s="12">
        <v>1.5329753593952475</v>
      </c>
      <c r="G46" s="25">
        <v>0.10840699923342285</v>
      </c>
      <c r="H46" s="19">
        <f t="shared" si="14"/>
        <v>3323.7051722163355</v>
      </c>
      <c r="I46" s="15">
        <v>46.662925842214378</v>
      </c>
      <c r="J46" s="15">
        <f t="shared" si="15"/>
        <v>143.06623102680479</v>
      </c>
      <c r="K46" s="26">
        <v>27261.496121037828</v>
      </c>
      <c r="L46" s="15">
        <f t="shared" si="16"/>
        <v>83582.40362760023</v>
      </c>
      <c r="M46" s="15">
        <v>84.570334682051651</v>
      </c>
      <c r="N46" s="15">
        <f t="shared" si="17"/>
        <v>259.28847840678907</v>
      </c>
      <c r="O46" s="27">
        <v>4.4005944814429387</v>
      </c>
      <c r="P46" s="19">
        <f t="shared" si="18"/>
        <v>134.92005813485466</v>
      </c>
      <c r="Q46" s="27">
        <v>1.0693033319394056</v>
      </c>
      <c r="R46" s="19">
        <f t="shared" si="19"/>
        <v>32.784313191646923</v>
      </c>
      <c r="S46" s="27">
        <v>14.561104070559539</v>
      </c>
      <c r="T46" s="15">
        <f t="shared" si="20"/>
        <v>44.643627491515232</v>
      </c>
      <c r="U46" s="27">
        <v>4.181822780536848</v>
      </c>
      <c r="V46" s="15">
        <f t="shared" si="21"/>
        <v>12.821262559841418</v>
      </c>
      <c r="W46" s="27">
        <v>17.320312445548701</v>
      </c>
      <c r="X46" s="15">
        <f t="shared" si="22"/>
        <v>53.103224392106014</v>
      </c>
      <c r="Y46" s="27">
        <v>4.0386797024744618</v>
      </c>
      <c r="Z46" s="15">
        <f t="shared" si="23"/>
        <v>12.382392936766163</v>
      </c>
      <c r="AA46" s="24">
        <v>2805.7348890939652</v>
      </c>
      <c r="AB46" s="15">
        <f t="shared" si="24"/>
        <v>8602.2448999532153</v>
      </c>
      <c r="AC46" s="24">
        <v>151.26054898920955</v>
      </c>
      <c r="AD46" s="15">
        <f t="shared" si="25"/>
        <v>463.75738889811203</v>
      </c>
      <c r="AE46" s="24">
        <v>296.58931174354814</v>
      </c>
      <c r="AF46" s="15">
        <f t="shared" si="26"/>
        <v>909.32821352570988</v>
      </c>
      <c r="AG46" s="24">
        <v>10.4794890149387</v>
      </c>
      <c r="AH46" s="15">
        <f t="shared" si="27"/>
        <v>32.129596877908412</v>
      </c>
    </row>
    <row r="47" spans="1:34" x14ac:dyDescent="0.45">
      <c r="A47" s="11" t="s">
        <v>8</v>
      </c>
      <c r="B47" s="10" t="s">
        <v>6</v>
      </c>
      <c r="C47" s="29" t="s">
        <v>65</v>
      </c>
      <c r="D47" s="29" t="s">
        <v>52</v>
      </c>
      <c r="E47" s="29" t="s">
        <v>47</v>
      </c>
      <c r="F47" s="12">
        <v>1.5329753593952475</v>
      </c>
      <c r="G47" s="25">
        <v>0.12315286726335298</v>
      </c>
      <c r="H47" s="19">
        <f t="shared" si="14"/>
        <v>3775.8062190718756</v>
      </c>
      <c r="I47" s="15">
        <v>32.596003252769279</v>
      </c>
      <c r="J47" s="15">
        <f t="shared" si="15"/>
        <v>99.937739602525312</v>
      </c>
      <c r="K47" s="26">
        <v>26881.11956559544</v>
      </c>
      <c r="L47" s="15">
        <f t="shared" si="16"/>
        <v>82416.187854030592</v>
      </c>
      <c r="M47" s="15">
        <v>87.52238535727335</v>
      </c>
      <c r="N47" s="15">
        <f t="shared" si="17"/>
        <v>268.33932029639101</v>
      </c>
      <c r="O47" s="27">
        <v>3.9726378964312561</v>
      </c>
      <c r="P47" s="19">
        <f t="shared" si="18"/>
        <v>121.79912014057773</v>
      </c>
      <c r="Q47" s="27">
        <v>1.2691804188598559</v>
      </c>
      <c r="R47" s="19">
        <f t="shared" si="19"/>
        <v>38.912446174781977</v>
      </c>
      <c r="S47" s="27">
        <v>17.5366830572646</v>
      </c>
      <c r="T47" s="15">
        <f t="shared" si="20"/>
        <v>53.76660602462151</v>
      </c>
      <c r="U47" s="27">
        <v>3.8444262799934736</v>
      </c>
      <c r="V47" s="15">
        <f t="shared" si="21"/>
        <v>11.786821516483062</v>
      </c>
      <c r="W47" s="27">
        <v>31.414454745089525</v>
      </c>
      <c r="X47" s="15">
        <f t="shared" si="22"/>
        <v>96.315170106118728</v>
      </c>
      <c r="Y47" s="27">
        <v>18.013883140540848</v>
      </c>
      <c r="Z47" s="15">
        <f t="shared" si="23"/>
        <v>55.229677962949211</v>
      </c>
      <c r="AA47" s="24">
        <v>2562.0934796983915</v>
      </c>
      <c r="AB47" s="15">
        <f t="shared" si="24"/>
        <v>7855.2523456897261</v>
      </c>
      <c r="AC47" s="24">
        <v>229.07158779421786</v>
      </c>
      <c r="AD47" s="15">
        <f t="shared" si="25"/>
        <v>702.32219925216248</v>
      </c>
      <c r="AE47" s="24">
        <v>354.95777568113039</v>
      </c>
      <c r="AF47" s="15">
        <f t="shared" si="26"/>
        <v>1088.2830474898371</v>
      </c>
      <c r="AG47" s="24">
        <v>11.866320989340116</v>
      </c>
      <c r="AH47" s="15">
        <f t="shared" si="27"/>
        <v>36.38155536666607</v>
      </c>
    </row>
    <row r="48" spans="1:34" x14ac:dyDescent="0.45">
      <c r="A48" s="11" t="s">
        <v>8</v>
      </c>
      <c r="B48" s="10" t="s">
        <v>6</v>
      </c>
      <c r="C48" s="29" t="s">
        <v>65</v>
      </c>
      <c r="D48" s="29" t="s">
        <v>53</v>
      </c>
      <c r="E48" s="29" t="s">
        <v>47</v>
      </c>
      <c r="F48" s="12">
        <v>1.5329753593952475</v>
      </c>
      <c r="G48" s="25">
        <v>0.11417114528583598</v>
      </c>
      <c r="H48" s="19">
        <f t="shared" si="14"/>
        <v>3500.4310495424297</v>
      </c>
      <c r="I48" s="15">
        <v>33.561000045104713</v>
      </c>
      <c r="J48" s="15">
        <f t="shared" si="15"/>
        <v>102.89637221161665</v>
      </c>
      <c r="K48" s="26">
        <v>24475.425447258684</v>
      </c>
      <c r="L48" s="15">
        <f t="shared" si="16"/>
        <v>75040.44824272595</v>
      </c>
      <c r="M48" s="15">
        <v>79.545132703590724</v>
      </c>
      <c r="N48" s="15">
        <f t="shared" si="17"/>
        <v>243.88145678885934</v>
      </c>
      <c r="O48" s="27">
        <v>4.3206913549781154</v>
      </c>
      <c r="P48" s="19">
        <f t="shared" si="18"/>
        <v>132.47026765467032</v>
      </c>
      <c r="Q48" s="27">
        <v>1.0548166688209486</v>
      </c>
      <c r="R48" s="19">
        <f t="shared" si="19"/>
        <v>32.340159239637835</v>
      </c>
      <c r="S48" s="27">
        <v>11.094179414251142</v>
      </c>
      <c r="T48" s="15">
        <f t="shared" si="20"/>
        <v>34.01420734951401</v>
      </c>
      <c r="U48" s="27">
        <v>5.0875725328700803</v>
      </c>
      <c r="V48" s="15">
        <f t="shared" si="21"/>
        <v>15.598246664051807</v>
      </c>
      <c r="W48" s="27">
        <v>25.659061470127355</v>
      </c>
      <c r="X48" s="15">
        <f t="shared" si="22"/>
        <v>78.669417957826482</v>
      </c>
      <c r="Y48" s="27">
        <v>12.296642702964638</v>
      </c>
      <c r="Z48" s="15">
        <f t="shared" si="23"/>
        <v>37.700900533864335</v>
      </c>
      <c r="AA48" s="24">
        <v>2442.3062870392732</v>
      </c>
      <c r="AB48" s="15">
        <f t="shared" si="24"/>
        <v>7487.990716254606</v>
      </c>
      <c r="AC48" s="24">
        <v>181.55017665283634</v>
      </c>
      <c r="AD48" s="15">
        <f t="shared" si="25"/>
        <v>556.62389460530505</v>
      </c>
      <c r="AE48" s="24">
        <v>262.68992040829391</v>
      </c>
      <c r="AF48" s="15">
        <f t="shared" si="26"/>
        <v>805.39435029482684</v>
      </c>
      <c r="AG48" s="24">
        <v>12.37381092270728</v>
      </c>
      <c r="AH48" s="15">
        <f t="shared" si="27"/>
        <v>37.937494492652071</v>
      </c>
    </row>
    <row r="49" spans="1:34" x14ac:dyDescent="0.45">
      <c r="A49" s="11" t="s">
        <v>8</v>
      </c>
      <c r="B49" s="10" t="s">
        <v>6</v>
      </c>
      <c r="C49" s="29" t="s">
        <v>65</v>
      </c>
      <c r="D49" s="29" t="s">
        <v>54</v>
      </c>
      <c r="E49" s="29" t="s">
        <v>47</v>
      </c>
      <c r="F49" s="12">
        <v>1.5329753593952475</v>
      </c>
      <c r="G49" s="25">
        <v>0.11500552500572311</v>
      </c>
      <c r="H49" s="19">
        <f t="shared" si="14"/>
        <v>3526.0127205617509</v>
      </c>
      <c r="I49" s="15">
        <v>40.257786932905582</v>
      </c>
      <c r="J49" s="15">
        <f t="shared" si="15"/>
        <v>123.4283907838565</v>
      </c>
      <c r="K49" s="26">
        <v>25273.946953393635</v>
      </c>
      <c r="L49" s="15">
        <f t="shared" si="16"/>
        <v>77488.675828430089</v>
      </c>
      <c r="M49" s="15">
        <v>81.689007117218722</v>
      </c>
      <c r="N49" s="15">
        <f t="shared" si="17"/>
        <v>250.45447008831869</v>
      </c>
      <c r="O49" s="27">
        <v>4.4165319660092752</v>
      </c>
      <c r="P49" s="19">
        <f t="shared" si="18"/>
        <v>135.40869355747338</v>
      </c>
      <c r="Q49" s="27">
        <v>1.1729819309262508</v>
      </c>
      <c r="R49" s="19">
        <f t="shared" si="19"/>
        <v>35.96304794251602</v>
      </c>
      <c r="S49" s="27">
        <v>15.361665765649493</v>
      </c>
      <c r="T49" s="15">
        <f t="shared" si="20"/>
        <v>47.098110196012414</v>
      </c>
      <c r="U49" s="27">
        <v>3.1368514050106473</v>
      </c>
      <c r="V49" s="15">
        <f t="shared" si="21"/>
        <v>9.6174318199313706</v>
      </c>
      <c r="W49" s="27">
        <v>15.653802157043426</v>
      </c>
      <c r="X49" s="15">
        <f t="shared" si="22"/>
        <v>47.993785975191507</v>
      </c>
      <c r="Y49" s="27">
        <v>6.6696160941488527</v>
      </c>
      <c r="Z49" s="15">
        <f t="shared" si="23"/>
        <v>20.448714257912336</v>
      </c>
      <c r="AA49" s="24">
        <v>2595.7559323248183</v>
      </c>
      <c r="AB49" s="15">
        <f t="shared" si="24"/>
        <v>7958.4597665159699</v>
      </c>
      <c r="AC49" s="24">
        <v>133.22243758523527</v>
      </c>
      <c r="AD49" s="15">
        <f t="shared" si="25"/>
        <v>408.45342827347406</v>
      </c>
      <c r="AE49" s="24">
        <v>287.26088104316352</v>
      </c>
      <c r="AF49" s="15">
        <f t="shared" si="26"/>
        <v>880.72770471467834</v>
      </c>
      <c r="AG49" s="24">
        <v>14.571204110885105</v>
      </c>
      <c r="AH49" s="15">
        <f t="shared" si="27"/>
        <v>44.674593717411213</v>
      </c>
    </row>
    <row r="50" spans="1:34" x14ac:dyDescent="0.45">
      <c r="A50" s="11" t="s">
        <v>8</v>
      </c>
      <c r="B50" s="10" t="s">
        <v>6</v>
      </c>
      <c r="C50" s="29" t="s">
        <v>65</v>
      </c>
      <c r="D50" s="29" t="s">
        <v>55</v>
      </c>
      <c r="E50" s="29" t="s">
        <v>47</v>
      </c>
      <c r="F50" s="12">
        <v>1.5329753593952475</v>
      </c>
      <c r="G50" s="25">
        <v>0.12836939589365168</v>
      </c>
      <c r="H50" s="19">
        <f t="shared" si="14"/>
        <v>3935.7424161084305</v>
      </c>
      <c r="I50" s="15">
        <v>46.338752435906542</v>
      </c>
      <c r="J50" s="15">
        <f t="shared" si="15"/>
        <v>142.07233133872251</v>
      </c>
      <c r="K50" s="26">
        <v>26945.882473743011</v>
      </c>
      <c r="L50" s="15">
        <f t="shared" si="16"/>
        <v>82614.747738816601</v>
      </c>
      <c r="M50" s="15">
        <v>91.656827505383433</v>
      </c>
      <c r="N50" s="15">
        <f t="shared" si="17"/>
        <v>281.01531617218677</v>
      </c>
      <c r="O50" s="27">
        <v>4.6034896783920436</v>
      </c>
      <c r="P50" s="19">
        <f t="shared" si="18"/>
        <v>141.14072488410713</v>
      </c>
      <c r="Q50" s="27">
        <v>1.1843429821366553</v>
      </c>
      <c r="R50" s="19">
        <f t="shared" si="19"/>
        <v>36.311372173763573</v>
      </c>
      <c r="S50" s="27">
        <v>20.992074322075808</v>
      </c>
      <c r="T50" s="15">
        <f t="shared" si="20"/>
        <v>64.360665356671831</v>
      </c>
      <c r="U50" s="27">
        <v>4.2831991186518685</v>
      </c>
      <c r="V50" s="15">
        <f t="shared" si="21"/>
        <v>13.132077416553514</v>
      </c>
      <c r="W50" s="27">
        <v>49.738393593148736</v>
      </c>
      <c r="X50" s="15">
        <f t="shared" si="22"/>
        <v>152.49546358839896</v>
      </c>
      <c r="Y50" s="27">
        <v>14.314902317599667</v>
      </c>
      <c r="Z50" s="15">
        <f t="shared" si="23"/>
        <v>43.888785050060434</v>
      </c>
      <c r="AA50" s="24">
        <v>2660.1373242252012</v>
      </c>
      <c r="AB50" s="15">
        <f t="shared" si="24"/>
        <v>8155.8499412896817</v>
      </c>
      <c r="AC50" s="24">
        <v>331.61603499826356</v>
      </c>
      <c r="AD50" s="15">
        <f t="shared" si="25"/>
        <v>1016.7184208653804</v>
      </c>
      <c r="AE50" s="24">
        <v>313.07849266916804</v>
      </c>
      <c r="AF50" s="15">
        <f t="shared" si="26"/>
        <v>959.88322963688074</v>
      </c>
      <c r="AG50" s="24">
        <v>16.271842711094919</v>
      </c>
      <c r="AH50" s="15">
        <f t="shared" si="27"/>
        <v>49.888667856127356</v>
      </c>
    </row>
    <row r="51" spans="1:34" x14ac:dyDescent="0.45">
      <c r="A51" s="11" t="s">
        <v>8</v>
      </c>
      <c r="B51" s="10" t="s">
        <v>6</v>
      </c>
      <c r="C51" s="29" t="s">
        <v>65</v>
      </c>
      <c r="D51" s="29" t="s">
        <v>56</v>
      </c>
      <c r="E51" s="29" t="s">
        <v>47</v>
      </c>
      <c r="F51" s="12">
        <v>1.5329753593952475</v>
      </c>
      <c r="G51" s="25">
        <v>0.12150937518306933</v>
      </c>
      <c r="H51" s="19">
        <f t="shared" si="14"/>
        <v>3725.4175618231538</v>
      </c>
      <c r="I51" s="15">
        <v>45.495104598453409</v>
      </c>
      <c r="J51" s="15">
        <f t="shared" si="15"/>
        <v>139.48574864507702</v>
      </c>
      <c r="K51" s="26">
        <v>26547.254799097533</v>
      </c>
      <c r="L51" s="15">
        <f t="shared" si="16"/>
        <v>81392.574933207521</v>
      </c>
      <c r="M51" s="15">
        <v>87.950447197010135</v>
      </c>
      <c r="N51" s="15">
        <f t="shared" si="17"/>
        <v>269.65173680161877</v>
      </c>
      <c r="O51" s="27">
        <v>4.6055555650914357</v>
      </c>
      <c r="P51" s="19">
        <f t="shared" si="18"/>
        <v>141.20406395221656</v>
      </c>
      <c r="Q51" s="27">
        <v>1.1513888912728589</v>
      </c>
      <c r="R51" s="19">
        <f t="shared" si="19"/>
        <v>35.301015988054139</v>
      </c>
      <c r="S51" s="27">
        <v>14.366541753622601</v>
      </c>
      <c r="T51" s="15">
        <f t="shared" si="20"/>
        <v>44.047109016052879</v>
      </c>
      <c r="U51" s="27">
        <v>5.4098062694945677</v>
      </c>
      <c r="V51" s="15">
        <f t="shared" si="21"/>
        <v>16.586199420474198</v>
      </c>
      <c r="W51" s="27">
        <v>32.986147253344122</v>
      </c>
      <c r="X51" s="15">
        <f t="shared" si="22"/>
        <v>101.13390188151953</v>
      </c>
      <c r="Y51" s="27">
        <v>8.4467191752938628</v>
      </c>
      <c r="Z51" s="15">
        <f t="shared" si="23"/>
        <v>25.897224726913684</v>
      </c>
      <c r="AA51" s="24">
        <v>2707.8953031800088</v>
      </c>
      <c r="AB51" s="15">
        <f t="shared" si="24"/>
        <v>8302.2735511941555</v>
      </c>
      <c r="AC51" s="24">
        <v>206.65271822136884</v>
      </c>
      <c r="AD51" s="15">
        <f t="shared" si="25"/>
        <v>633.58704997081554</v>
      </c>
      <c r="AE51" s="24">
        <v>295.08518773051316</v>
      </c>
      <c r="AF51" s="15">
        <f t="shared" si="26"/>
        <v>904.71664342679526</v>
      </c>
      <c r="AG51" s="24">
        <v>13.497587451395713</v>
      </c>
      <c r="AH51" s="15">
        <f t="shared" si="27"/>
        <v>41.382937948544267</v>
      </c>
    </row>
    <row r="52" spans="1:34" x14ac:dyDescent="0.45">
      <c r="A52" s="11" t="s">
        <v>8</v>
      </c>
      <c r="B52" s="10" t="s">
        <v>6</v>
      </c>
      <c r="C52" s="29" t="s">
        <v>65</v>
      </c>
      <c r="D52" s="29" t="s">
        <v>57</v>
      </c>
      <c r="E52" s="29" t="s">
        <v>47</v>
      </c>
      <c r="F52" s="12">
        <v>1.5329753593952475</v>
      </c>
      <c r="G52" s="25">
        <v>0.1223984186725823</v>
      </c>
      <c r="H52" s="19">
        <f t="shared" si="14"/>
        <v>3752.675197080237</v>
      </c>
      <c r="I52" s="15">
        <v>39.545016487339453</v>
      </c>
      <c r="J52" s="15">
        <f t="shared" si="15"/>
        <v>121.2430717239404</v>
      </c>
      <c r="K52" s="26">
        <v>25191.640132675504</v>
      </c>
      <c r="L52" s="15">
        <f t="shared" si="16"/>
        <v>77236.327172287958</v>
      </c>
      <c r="M52" s="15">
        <v>84.753269903729986</v>
      </c>
      <c r="N52" s="15">
        <f t="shared" si="17"/>
        <v>259.84934878118582</v>
      </c>
      <c r="O52" s="27">
        <v>4.236569904607097</v>
      </c>
      <c r="P52" s="19">
        <f t="shared" si="18"/>
        <v>129.8911454423631</v>
      </c>
      <c r="Q52" s="27">
        <v>1.1507990365879852</v>
      </c>
      <c r="R52" s="19">
        <f t="shared" si="19"/>
        <v>35.282931334103431</v>
      </c>
      <c r="S52" s="27">
        <v>12.506743139444024</v>
      </c>
      <c r="T52" s="15">
        <f t="shared" si="20"/>
        <v>38.345058118106508</v>
      </c>
      <c r="U52" s="27">
        <v>10.479654763317159</v>
      </c>
      <c r="V52" s="15">
        <f t="shared" si="21"/>
        <v>32.130105054268483</v>
      </c>
      <c r="W52" s="27">
        <v>29.929348594492218</v>
      </c>
      <c r="X52" s="15">
        <f t="shared" si="22"/>
        <v>91.761907836214732</v>
      </c>
      <c r="Y52" s="27">
        <v>17.511542067327373</v>
      </c>
      <c r="Z52" s="15">
        <f t="shared" si="23"/>
        <v>53.689524988452362</v>
      </c>
      <c r="AA52" s="24">
        <v>2580.3088385840415</v>
      </c>
      <c r="AB52" s="15">
        <f t="shared" si="24"/>
        <v>7911.0997383582117</v>
      </c>
      <c r="AC52" s="24">
        <v>225.504235993853</v>
      </c>
      <c r="AD52" s="15">
        <f t="shared" si="25"/>
        <v>691.38487443565521</v>
      </c>
      <c r="AE52" s="24">
        <v>284.7380675682752</v>
      </c>
      <c r="AF52" s="15">
        <f t="shared" si="26"/>
        <v>872.99288292797007</v>
      </c>
      <c r="AG52" s="24">
        <v>17.146635455753799</v>
      </c>
      <c r="AH52" s="15">
        <f t="shared" si="27"/>
        <v>52.570739300406963</v>
      </c>
    </row>
    <row r="53" spans="1:34" x14ac:dyDescent="0.45">
      <c r="A53" s="11" t="s">
        <v>8</v>
      </c>
      <c r="B53" s="10" t="s">
        <v>6</v>
      </c>
      <c r="C53" s="29" t="s">
        <v>65</v>
      </c>
      <c r="D53" s="29" t="s">
        <v>59</v>
      </c>
      <c r="E53" s="29" t="s">
        <v>47</v>
      </c>
      <c r="F53" s="12">
        <v>1.5329753593952475</v>
      </c>
      <c r="G53" s="25">
        <v>0.13283732174555626</v>
      </c>
      <c r="H53" s="19">
        <f t="shared" si="14"/>
        <v>4072.7268208799251</v>
      </c>
      <c r="I53" s="15">
        <v>45.837665492625128</v>
      </c>
      <c r="J53" s="15">
        <f t="shared" si="15"/>
        <v>140.53602346479232</v>
      </c>
      <c r="K53" s="26">
        <v>30018.429584567388</v>
      </c>
      <c r="L53" s="15">
        <f t="shared" si="16"/>
        <v>92035.025761766272</v>
      </c>
      <c r="M53" s="15">
        <v>91.675330985250255</v>
      </c>
      <c r="N53" s="15">
        <f t="shared" si="17"/>
        <v>281.07204692958464</v>
      </c>
      <c r="O53" s="27">
        <v>4.5406543665829631</v>
      </c>
      <c r="P53" s="19">
        <f t="shared" si="18"/>
        <v>139.21422519004238</v>
      </c>
      <c r="Q53" s="27">
        <v>1.2430298152862862</v>
      </c>
      <c r="R53" s="19">
        <f t="shared" si="19"/>
        <v>38.110681556550063</v>
      </c>
      <c r="S53" s="27">
        <v>17.917500954794381</v>
      </c>
      <c r="T53" s="15">
        <f t="shared" si="20"/>
        <v>54.934174931281227</v>
      </c>
      <c r="U53" s="27">
        <v>4.6765367612764068</v>
      </c>
      <c r="V53" s="15">
        <f t="shared" si="21"/>
        <v>14.338031244685578</v>
      </c>
      <c r="W53" s="27">
        <v>30.859704790980942</v>
      </c>
      <c r="X53" s="15">
        <f t="shared" si="22"/>
        <v>94.614334085570533</v>
      </c>
      <c r="Y53" s="27">
        <v>12.180746913092038</v>
      </c>
      <c r="Z53" s="15">
        <f t="shared" si="23"/>
        <v>37.345569753599648</v>
      </c>
      <c r="AA53" s="24">
        <v>2653.8515340134209</v>
      </c>
      <c r="AB53" s="15">
        <f t="shared" si="24"/>
        <v>8136.5780182717072</v>
      </c>
      <c r="AC53" s="24">
        <v>249.77426202479256</v>
      </c>
      <c r="AD53" s="15">
        <f t="shared" si="25"/>
        <v>765.79557819027843</v>
      </c>
      <c r="AE53" s="24">
        <v>341.42530171937375</v>
      </c>
      <c r="AF53" s="15">
        <f t="shared" si="26"/>
        <v>1046.7931492197758</v>
      </c>
      <c r="AG53" s="24">
        <v>11.179412534174183</v>
      </c>
      <c r="AH53" s="15">
        <f t="shared" si="27"/>
        <v>34.275527894806814</v>
      </c>
    </row>
    <row r="54" spans="1:34" x14ac:dyDescent="0.45">
      <c r="A54" s="11" t="s">
        <v>8</v>
      </c>
      <c r="B54" s="10" t="s">
        <v>6</v>
      </c>
      <c r="C54" s="29" t="s">
        <v>65</v>
      </c>
      <c r="D54" s="29" t="s">
        <v>60</v>
      </c>
      <c r="E54" s="29" t="s">
        <v>47</v>
      </c>
      <c r="F54" s="12">
        <v>1.5329753593952475</v>
      </c>
      <c r="G54" s="25">
        <v>0.13717416418109113</v>
      </c>
      <c r="H54" s="19">
        <f t="shared" si="14"/>
        <v>4205.6922727050187</v>
      </c>
      <c r="I54" s="15">
        <v>43.68853723088781</v>
      </c>
      <c r="J54" s="15">
        <f t="shared" si="15"/>
        <v>133.94690212594583</v>
      </c>
      <c r="K54" s="26">
        <v>27829.700531151018</v>
      </c>
      <c r="L54" s="15">
        <f t="shared" si="16"/>
        <v>85324.490347206709</v>
      </c>
      <c r="M54" s="15">
        <v>91.367362405580366</v>
      </c>
      <c r="N54" s="15">
        <f t="shared" si="17"/>
        <v>280.12783044138087</v>
      </c>
      <c r="O54" s="27">
        <v>4.6566660304201344</v>
      </c>
      <c r="P54" s="19">
        <f t="shared" si="18"/>
        <v>142.77108563133893</v>
      </c>
      <c r="Q54" s="27">
        <v>1.2624739015805697</v>
      </c>
      <c r="R54" s="19">
        <f t="shared" si="19"/>
        <v>38.706827660051893</v>
      </c>
      <c r="S54" s="27">
        <v>16.14474174912262</v>
      </c>
      <c r="T54" s="15">
        <f t="shared" si="20"/>
        <v>49.498982570409424</v>
      </c>
      <c r="U54" s="27">
        <v>3.7274978367782907</v>
      </c>
      <c r="V54" s="15">
        <f t="shared" si="21"/>
        <v>11.42832467196042</v>
      </c>
      <c r="W54" s="27">
        <v>36.805211517120433</v>
      </c>
      <c r="X54" s="15">
        <f t="shared" si="22"/>
        <v>112.84296470615162</v>
      </c>
      <c r="Y54" s="27">
        <v>14.685320244622414</v>
      </c>
      <c r="Z54" s="15">
        <f t="shared" si="23"/>
        <v>45.024468159668707</v>
      </c>
      <c r="AA54" s="24">
        <v>2667.7522280940234</v>
      </c>
      <c r="AB54" s="15">
        <f t="shared" si="24"/>
        <v>8179.1968612798173</v>
      </c>
      <c r="AC54" s="24">
        <v>265.94737107066095</v>
      </c>
      <c r="AD54" s="15">
        <f t="shared" si="25"/>
        <v>815.38153349453569</v>
      </c>
      <c r="AE54" s="24">
        <v>315.61847539514241</v>
      </c>
      <c r="AF54" s="15">
        <f t="shared" si="26"/>
        <v>967.67069150129726</v>
      </c>
      <c r="AG54" s="24">
        <v>11.279479940350992</v>
      </c>
      <c r="AH54" s="15">
        <f t="shared" si="27"/>
        <v>34.582329630702098</v>
      </c>
    </row>
    <row r="55" spans="1:34" x14ac:dyDescent="0.45">
      <c r="A55" s="11" t="s">
        <v>8</v>
      </c>
      <c r="B55" s="10" t="s">
        <v>6</v>
      </c>
      <c r="C55" s="29" t="s">
        <v>65</v>
      </c>
      <c r="D55" s="29" t="s">
        <v>61</v>
      </c>
      <c r="E55" s="29" t="s">
        <v>47</v>
      </c>
      <c r="F55" s="12">
        <v>1.5329753593952475</v>
      </c>
      <c r="G55" s="25">
        <v>0.11565264430026595</v>
      </c>
      <c r="H55" s="19">
        <f t="shared" si="14"/>
        <v>3545.8530792242195</v>
      </c>
      <c r="I55" s="15">
        <v>37.091284504341715</v>
      </c>
      <c r="J55" s="15">
        <f t="shared" si="15"/>
        <v>113.72005038694925</v>
      </c>
      <c r="K55" s="26">
        <v>26332.762755844811</v>
      </c>
      <c r="L55" s="15">
        <f t="shared" si="16"/>
        <v>80734.952899021984</v>
      </c>
      <c r="M55" s="15">
        <v>86.068173987975257</v>
      </c>
      <c r="N55" s="15">
        <f t="shared" si="17"/>
        <v>263.88077990341816</v>
      </c>
      <c r="O55" s="27">
        <v>4.6135615120911453</v>
      </c>
      <c r="P55" s="19">
        <f t="shared" si="18"/>
        <v>141.44952234180013</v>
      </c>
      <c r="Q55" s="27">
        <v>1.0047311737442939</v>
      </c>
      <c r="R55" s="19">
        <f t="shared" si="19"/>
        <v>30.804562643325362</v>
      </c>
      <c r="S55" s="27">
        <v>10.793530383752332</v>
      </c>
      <c r="T55" s="15">
        <f t="shared" si="20"/>
        <v>33.092432238352515</v>
      </c>
      <c r="U55" s="27">
        <v>3.2537893176199222</v>
      </c>
      <c r="V55" s="15">
        <f t="shared" si="21"/>
        <v>9.9759576971496386</v>
      </c>
      <c r="W55" s="27">
        <v>19.961120694021613</v>
      </c>
      <c r="X55" s="15">
        <f t="shared" si="22"/>
        <v>61.199812339699399</v>
      </c>
      <c r="Y55" s="27">
        <v>9.6444653426458764</v>
      </c>
      <c r="Z55" s="15">
        <f t="shared" si="23"/>
        <v>29.569455449635146</v>
      </c>
      <c r="AA55" s="24">
        <v>2682.0170923623191</v>
      </c>
      <c r="AB55" s="15">
        <f t="shared" si="24"/>
        <v>8222.9322321366471</v>
      </c>
      <c r="AC55" s="24">
        <v>168.13868621843284</v>
      </c>
      <c r="AD55" s="15">
        <f t="shared" si="25"/>
        <v>515.5049258678938</v>
      </c>
      <c r="AE55" s="24">
        <v>304.49505979801557</v>
      </c>
      <c r="AF55" s="15">
        <f t="shared" si="26"/>
        <v>933.56684745588086</v>
      </c>
      <c r="AG55" s="24">
        <v>11.380118396491492</v>
      </c>
      <c r="AH55" s="15">
        <f t="shared" si="27"/>
        <v>34.890882177644031</v>
      </c>
    </row>
    <row r="56" spans="1:34" x14ac:dyDescent="0.45">
      <c r="A56" s="11" t="s">
        <v>8</v>
      </c>
      <c r="B56" s="10" t="s">
        <v>6</v>
      </c>
      <c r="C56" s="29" t="s">
        <v>65</v>
      </c>
      <c r="D56" s="29" t="s">
        <v>62</v>
      </c>
      <c r="E56" s="29" t="s">
        <v>47</v>
      </c>
      <c r="F56" s="12">
        <v>1.5329753593952475</v>
      </c>
      <c r="G56" s="25">
        <v>0.1235722793814342</v>
      </c>
      <c r="H56" s="19">
        <f t="shared" si="14"/>
        <v>3788.6651879208816</v>
      </c>
      <c r="I56" s="15">
        <v>38.509417125299478</v>
      </c>
      <c r="J56" s="15">
        <f t="shared" si="15"/>
        <v>118.06797511551497</v>
      </c>
      <c r="K56" s="26">
        <v>27980.260037875825</v>
      </c>
      <c r="L56" s="15">
        <f t="shared" si="16"/>
        <v>85786.098375070374</v>
      </c>
      <c r="M56" s="15">
        <v>90.570249390894233</v>
      </c>
      <c r="N56" s="15">
        <f t="shared" si="17"/>
        <v>277.6839212210466</v>
      </c>
      <c r="O56" s="27">
        <v>4.3338673518763482</v>
      </c>
      <c r="P56" s="19">
        <f t="shared" si="18"/>
        <v>132.87423722627952</v>
      </c>
      <c r="Q56" s="27">
        <v>1.1707603746774971</v>
      </c>
      <c r="R56" s="19">
        <f t="shared" si="19"/>
        <v>35.894936122739018</v>
      </c>
      <c r="S56" s="27">
        <v>9.5730656352268912</v>
      </c>
      <c r="T56" s="15">
        <f t="shared" si="20"/>
        <v>29.350547465352481</v>
      </c>
      <c r="U56" s="27">
        <v>3.1678628069032286</v>
      </c>
      <c r="V56" s="15">
        <f t="shared" si="21"/>
        <v>9.7125112498546322</v>
      </c>
      <c r="W56" s="27">
        <v>20.570930774763323</v>
      </c>
      <c r="X56" s="15">
        <f t="shared" si="22"/>
        <v>63.069459995075135</v>
      </c>
      <c r="Y56" s="27">
        <v>14.114140340310882</v>
      </c>
      <c r="Z56" s="15">
        <f t="shared" si="23"/>
        <v>43.273258721486087</v>
      </c>
      <c r="AA56" s="24">
        <v>2475.2380997030505</v>
      </c>
      <c r="AB56" s="15">
        <f t="shared" si="24"/>
        <v>7588.9580309621888</v>
      </c>
      <c r="AC56" s="24">
        <v>151.95153448642776</v>
      </c>
      <c r="AD56" s="15">
        <f t="shared" si="25"/>
        <v>465.87591637998202</v>
      </c>
      <c r="AE56" s="24">
        <v>331.14955101869776</v>
      </c>
      <c r="AF56" s="15">
        <f t="shared" si="26"/>
        <v>1015.2882039729263</v>
      </c>
      <c r="AG56" s="24">
        <v>13.832829346350664</v>
      </c>
      <c r="AH56" s="15">
        <f t="shared" si="27"/>
        <v>42.410773077350079</v>
      </c>
    </row>
    <row r="57" spans="1:34" x14ac:dyDescent="0.45">
      <c r="A57" s="11" t="s">
        <v>8</v>
      </c>
      <c r="B57" s="10" t="s">
        <v>9</v>
      </c>
      <c r="C57" s="29" t="s">
        <v>64</v>
      </c>
      <c r="D57" s="29" t="s">
        <v>51</v>
      </c>
      <c r="E57" s="29" t="s">
        <v>43</v>
      </c>
      <c r="F57" s="12">
        <v>1.3065264569402053</v>
      </c>
      <c r="G57" s="25">
        <v>0.12967821110127092</v>
      </c>
      <c r="H57" s="19">
        <f t="shared" si="14"/>
        <v>3388.5602738497505</v>
      </c>
      <c r="I57" s="15">
        <v>50.309755677218249</v>
      </c>
      <c r="J57" s="15">
        <f t="shared" si="15"/>
        <v>131.46205366896669</v>
      </c>
      <c r="K57" s="26">
        <v>28053.76710625552</v>
      </c>
      <c r="L57" s="15">
        <f t="shared" si="16"/>
        <v>73305.977882323408</v>
      </c>
      <c r="M57" s="15">
        <v>93.232019349789184</v>
      </c>
      <c r="N57" s="15">
        <f t="shared" si="17"/>
        <v>243.6201998289215</v>
      </c>
      <c r="O57" s="27">
        <v>4.279433849456642</v>
      </c>
      <c r="P57" s="19">
        <f t="shared" si="18"/>
        <v>111.82387090081141</v>
      </c>
      <c r="Q57" s="27">
        <v>1.1717497444940805</v>
      </c>
      <c r="R57" s="19">
        <f t="shared" si="19"/>
        <v>30.618440841888841</v>
      </c>
      <c r="S57" s="27">
        <v>12.793704909288495</v>
      </c>
      <c r="T57" s="15">
        <f t="shared" si="20"/>
        <v>33.430627892542425</v>
      </c>
      <c r="U57" s="27">
        <v>4.0198693938549148</v>
      </c>
      <c r="V57" s="15">
        <f t="shared" si="21"/>
        <v>10.504131433031267</v>
      </c>
      <c r="W57" s="27">
        <v>18.789167314981114</v>
      </c>
      <c r="X57" s="15">
        <f t="shared" si="22"/>
        <v>49.097088401797983</v>
      </c>
      <c r="Y57" s="27">
        <v>6.1935765475690525</v>
      </c>
      <c r="Z57" s="15">
        <f t="shared" si="23"/>
        <v>16.184143244966691</v>
      </c>
      <c r="AA57" s="24">
        <v>3005.7928228326418</v>
      </c>
      <c r="AB57" s="15">
        <f t="shared" si="24"/>
        <v>7854.2956942236606</v>
      </c>
      <c r="AC57" s="24">
        <v>166.08278987176971</v>
      </c>
      <c r="AD57" s="15">
        <f t="shared" si="25"/>
        <v>433.98311801981589</v>
      </c>
      <c r="AE57" s="24">
        <v>309.74949767495701</v>
      </c>
      <c r="AF57" s="15">
        <f t="shared" si="26"/>
        <v>809.39182747254006</v>
      </c>
      <c r="AG57" s="24">
        <v>10.902367187901445</v>
      </c>
      <c r="AH57" s="15">
        <f t="shared" si="27"/>
        <v>28.488462348540057</v>
      </c>
    </row>
    <row r="58" spans="1:34" x14ac:dyDescent="0.45">
      <c r="A58" s="11" t="s">
        <v>8</v>
      </c>
      <c r="B58" s="10" t="s">
        <v>9</v>
      </c>
      <c r="C58" s="29" t="s">
        <v>64</v>
      </c>
      <c r="D58" s="29" t="s">
        <v>52</v>
      </c>
      <c r="E58" s="29" t="s">
        <v>43</v>
      </c>
      <c r="F58" s="12">
        <v>1.3065264569402053</v>
      </c>
      <c r="G58" s="25">
        <v>0.12481257612509235</v>
      </c>
      <c r="H58" s="19">
        <f t="shared" si="14"/>
        <v>3261.4186573259312</v>
      </c>
      <c r="I58" s="15">
        <v>27.987238176244926</v>
      </c>
      <c r="J58" s="15">
        <f t="shared" si="15"/>
        <v>73.132134267901876</v>
      </c>
      <c r="K58" s="26">
        <v>24123.680044170709</v>
      </c>
      <c r="L58" s="15">
        <f t="shared" si="16"/>
        <v>63036.452432938997</v>
      </c>
      <c r="M58" s="15">
        <v>81.888585774938861</v>
      </c>
      <c r="N58" s="15">
        <f t="shared" si="17"/>
        <v>213.97920767274996</v>
      </c>
      <c r="O58" s="27">
        <v>4.1010746087341099</v>
      </c>
      <c r="P58" s="19">
        <f t="shared" si="18"/>
        <v>107.16324956393632</v>
      </c>
      <c r="Q58" s="27">
        <v>1.2752097663974225</v>
      </c>
      <c r="R58" s="19">
        <f t="shared" si="19"/>
        <v>33.321905958935425</v>
      </c>
      <c r="S58" s="27">
        <v>10.095678179891893</v>
      </c>
      <c r="T58" s="15">
        <f t="shared" si="20"/>
        <v>26.380541285565396</v>
      </c>
      <c r="U58" s="27">
        <v>4.4668693299576763</v>
      </c>
      <c r="V58" s="15">
        <f t="shared" si="21"/>
        <v>11.672165918568945</v>
      </c>
      <c r="W58" s="27">
        <v>16.908961609443949</v>
      </c>
      <c r="X58" s="15">
        <f t="shared" si="22"/>
        <v>44.184011404249517</v>
      </c>
      <c r="Y58" s="27">
        <v>10.515754880942028</v>
      </c>
      <c r="Z58" s="15">
        <f t="shared" si="23"/>
        <v>27.47822393329772</v>
      </c>
      <c r="AA58" s="24">
        <v>2684.5509276392863</v>
      </c>
      <c r="AB58" s="15">
        <f t="shared" si="24"/>
        <v>7014.873623928198</v>
      </c>
      <c r="AC58" s="24">
        <v>155.76549078709326</v>
      </c>
      <c r="AD58" s="15">
        <f t="shared" si="25"/>
        <v>407.02346958322636</v>
      </c>
      <c r="AE58" s="24">
        <v>322.10765070170521</v>
      </c>
      <c r="AF58" s="15">
        <f t="shared" si="26"/>
        <v>841.68433524926445</v>
      </c>
      <c r="AG58" s="24">
        <v>6.317156015254338</v>
      </c>
      <c r="AH58" s="15">
        <f t="shared" si="27"/>
        <v>16.507062933097515</v>
      </c>
    </row>
    <row r="59" spans="1:34" x14ac:dyDescent="0.45">
      <c r="A59" s="11" t="s">
        <v>8</v>
      </c>
      <c r="B59" s="10" t="s">
        <v>9</v>
      </c>
      <c r="C59" s="29" t="s">
        <v>64</v>
      </c>
      <c r="D59" s="29" t="s">
        <v>53</v>
      </c>
      <c r="E59" s="29" t="s">
        <v>43</v>
      </c>
      <c r="F59" s="12">
        <v>1.3065264569402053</v>
      </c>
      <c r="G59" s="25">
        <v>0.11542865769353405</v>
      </c>
      <c r="H59" s="19">
        <f t="shared" si="14"/>
        <v>3016.2119033139365</v>
      </c>
      <c r="I59" s="15">
        <v>29.079578312669263</v>
      </c>
      <c r="J59" s="15">
        <f t="shared" si="15"/>
        <v>75.986476844334021</v>
      </c>
      <c r="K59" s="26">
        <v>23993.051413093446</v>
      </c>
      <c r="L59" s="15">
        <f t="shared" si="16"/>
        <v>62695.112907866343</v>
      </c>
      <c r="M59" s="15">
        <v>77.545542167118029</v>
      </c>
      <c r="N59" s="15">
        <f t="shared" si="17"/>
        <v>202.63060491822407</v>
      </c>
      <c r="O59" s="27">
        <v>4.3027487682304564</v>
      </c>
      <c r="P59" s="19">
        <f t="shared" si="18"/>
        <v>112.43310206519942</v>
      </c>
      <c r="Q59" s="27">
        <v>1.0501969742363437</v>
      </c>
      <c r="R59" s="19">
        <f t="shared" si="19"/>
        <v>27.442202636766687</v>
      </c>
      <c r="S59" s="27">
        <v>9.4090500766427283</v>
      </c>
      <c r="T59" s="15">
        <f t="shared" si="20"/>
        <v>24.586345719617984</v>
      </c>
      <c r="U59" s="27">
        <v>3.9268269451200344</v>
      </c>
      <c r="V59" s="15">
        <f t="shared" si="21"/>
        <v>10.26100659125002</v>
      </c>
      <c r="W59" s="27">
        <v>13.89570462796342</v>
      </c>
      <c r="X59" s="15">
        <f t="shared" si="22"/>
        <v>36.310211468521324</v>
      </c>
      <c r="Y59" s="27">
        <v>6.5683265138734601</v>
      </c>
      <c r="Z59" s="15">
        <f t="shared" si="23"/>
        <v>17.16338473639501</v>
      </c>
      <c r="AA59" s="24">
        <v>2539.6580286416834</v>
      </c>
      <c r="AB59" s="15">
        <f t="shared" si="24"/>
        <v>6636.2608120019313</v>
      </c>
      <c r="AC59" s="24">
        <v>125.8904635254583</v>
      </c>
      <c r="AD59" s="15">
        <f t="shared" si="25"/>
        <v>328.95844254495444</v>
      </c>
      <c r="AE59" s="24">
        <v>228.89175186446963</v>
      </c>
      <c r="AF59" s="15">
        <f t="shared" si="26"/>
        <v>598.1062591726444</v>
      </c>
      <c r="AG59" s="24">
        <v>7.5118111293703205</v>
      </c>
      <c r="AH59" s="15">
        <f t="shared" si="27"/>
        <v>19.628759960120416</v>
      </c>
    </row>
    <row r="60" spans="1:34" x14ac:dyDescent="0.45">
      <c r="A60" s="11" t="s">
        <v>8</v>
      </c>
      <c r="B60" s="10" t="s">
        <v>9</v>
      </c>
      <c r="C60" s="29" t="s">
        <v>64</v>
      </c>
      <c r="D60" s="29" t="s">
        <v>54</v>
      </c>
      <c r="E60" s="29" t="s">
        <v>43</v>
      </c>
      <c r="F60" s="12">
        <v>1.5329753593952475</v>
      </c>
      <c r="G60" s="25">
        <v>0.12879279563538129</v>
      </c>
      <c r="H60" s="19">
        <f t="shared" si="14"/>
        <v>3948.7236435333466</v>
      </c>
      <c r="I60" s="15">
        <v>45.522316639080316</v>
      </c>
      <c r="J60" s="15">
        <f t="shared" si="15"/>
        <v>139.56917942059684</v>
      </c>
      <c r="K60" s="26">
        <v>27333.054051110856</v>
      </c>
      <c r="L60" s="15">
        <f t="shared" si="16"/>
        <v>83801.796714742799</v>
      </c>
      <c r="M60" s="15">
        <v>92.322797676234131</v>
      </c>
      <c r="N60" s="15">
        <f t="shared" si="17"/>
        <v>283.05714789619952</v>
      </c>
      <c r="O60" s="27">
        <v>4.2541165325148933</v>
      </c>
      <c r="P60" s="19">
        <f t="shared" si="18"/>
        <v>130.42911640682567</v>
      </c>
      <c r="Q60" s="27">
        <v>1.1731976048901984</v>
      </c>
      <c r="R60" s="19">
        <f t="shared" si="19"/>
        <v>35.969660399963921</v>
      </c>
      <c r="S60" s="27">
        <v>22.495992180412859</v>
      </c>
      <c r="T60" s="15">
        <f t="shared" si="20"/>
        <v>68.971603395442173</v>
      </c>
      <c r="U60" s="27">
        <v>5.1898420761827913</v>
      </c>
      <c r="V60" s="15">
        <f t="shared" si="21"/>
        <v>15.911800043881787</v>
      </c>
      <c r="W60" s="27">
        <v>13.461774274236591</v>
      </c>
      <c r="X60" s="15">
        <f t="shared" si="22"/>
        <v>41.273136512291082</v>
      </c>
      <c r="Y60" s="27">
        <v>7.7251097570766838</v>
      </c>
      <c r="Z60" s="15">
        <f t="shared" si="23"/>
        <v>23.684805812444733</v>
      </c>
      <c r="AA60" s="24">
        <v>2966.6596826266932</v>
      </c>
      <c r="AB60" s="15">
        <f t="shared" si="24"/>
        <v>9095.6323863560938</v>
      </c>
      <c r="AC60" s="24">
        <v>125.48113513173426</v>
      </c>
      <c r="AD60" s="15">
        <f t="shared" si="25"/>
        <v>384.71897645178802</v>
      </c>
      <c r="AE60" s="24">
        <v>332.57601669061279</v>
      </c>
      <c r="AF60" s="15">
        <f t="shared" si="26"/>
        <v>1019.6616774250642</v>
      </c>
      <c r="AG60" s="24">
        <v>10.813821401596611</v>
      </c>
      <c r="AH60" s="15">
        <f t="shared" si="27"/>
        <v>33.154643499097176</v>
      </c>
    </row>
    <row r="61" spans="1:34" x14ac:dyDescent="0.45">
      <c r="A61" s="11" t="s">
        <v>8</v>
      </c>
      <c r="B61" s="10" t="s">
        <v>9</v>
      </c>
      <c r="C61" s="29" t="s">
        <v>64</v>
      </c>
      <c r="D61" s="29" t="s">
        <v>55</v>
      </c>
      <c r="E61" s="29" t="s">
        <v>43</v>
      </c>
      <c r="F61" s="12">
        <v>1.5329753593952475</v>
      </c>
      <c r="G61" s="25">
        <v>0.12808189087619601</v>
      </c>
      <c r="H61" s="19">
        <f t="shared" si="14"/>
        <v>3926.9276539591897</v>
      </c>
      <c r="I61" s="15">
        <v>47.111450904967306</v>
      </c>
      <c r="J61" s="15">
        <f t="shared" si="15"/>
        <v>144.44138676534766</v>
      </c>
      <c r="K61" s="26">
        <v>25274.38353270778</v>
      </c>
      <c r="L61" s="15">
        <f t="shared" si="16"/>
        <v>77490.014359092092</v>
      </c>
      <c r="M61" s="15">
        <v>85.93290401120646</v>
      </c>
      <c r="N61" s="15">
        <f t="shared" si="17"/>
        <v>263.46604882091316</v>
      </c>
      <c r="O61" s="27">
        <v>4.3292997040845815</v>
      </c>
      <c r="P61" s="19">
        <f t="shared" si="18"/>
        <v>132.73419539597603</v>
      </c>
      <c r="Q61" s="27">
        <v>1.1918307420656375</v>
      </c>
      <c r="R61" s="19">
        <f t="shared" si="19"/>
        <v>36.540943203127512</v>
      </c>
      <c r="S61" s="27">
        <v>8.2934344133370264</v>
      </c>
      <c r="T61" s="15">
        <f t="shared" si="20"/>
        <v>25.427261200812488</v>
      </c>
      <c r="U61" s="27">
        <v>4.1585712350192914</v>
      </c>
      <c r="V61" s="15">
        <f t="shared" si="21"/>
        <v>12.749974467148876</v>
      </c>
      <c r="W61" s="27">
        <v>14.46417995076825</v>
      </c>
      <c r="X61" s="15">
        <f t="shared" si="22"/>
        <v>44.346462916772992</v>
      </c>
      <c r="Y61" s="27">
        <v>7.3611490826778274</v>
      </c>
      <c r="Z61" s="15">
        <f t="shared" si="23"/>
        <v>22.568920321160082</v>
      </c>
      <c r="AA61" s="24">
        <v>2971.0880322149083</v>
      </c>
      <c r="AB61" s="15">
        <f t="shared" si="24"/>
        <v>9109.2094879591368</v>
      </c>
      <c r="AC61" s="24">
        <v>130.82774192274053</v>
      </c>
      <c r="AD61" s="15">
        <f t="shared" si="25"/>
        <v>401.11140938576381</v>
      </c>
      <c r="AE61" s="24">
        <v>285.62392511376936</v>
      </c>
      <c r="AF61" s="15">
        <f t="shared" si="26"/>
        <v>875.70887850632391</v>
      </c>
      <c r="AG61" s="24">
        <v>9.4775211515023479</v>
      </c>
      <c r="AH61" s="15">
        <f t="shared" si="27"/>
        <v>29.05761278680075</v>
      </c>
    </row>
    <row r="62" spans="1:34" x14ac:dyDescent="0.45">
      <c r="A62" s="11" t="s">
        <v>8</v>
      </c>
      <c r="B62" s="10" t="s">
        <v>9</v>
      </c>
      <c r="C62" s="29" t="s">
        <v>64</v>
      </c>
      <c r="D62" s="29" t="s">
        <v>56</v>
      </c>
      <c r="E62" s="29" t="s">
        <v>43</v>
      </c>
      <c r="F62" s="12">
        <v>1.5329753593952475</v>
      </c>
      <c r="G62" s="25">
        <v>0.12557350313736049</v>
      </c>
      <c r="H62" s="19">
        <f t="shared" si="14"/>
        <v>3850.0217220503091</v>
      </c>
      <c r="I62" s="15">
        <v>43.598553165169143</v>
      </c>
      <c r="J62" s="15">
        <f t="shared" si="15"/>
        <v>133.67101541497598</v>
      </c>
      <c r="K62" s="26">
        <v>25623.711070757308</v>
      </c>
      <c r="L62" s="15">
        <f t="shared" si="16"/>
        <v>78561.03537546836</v>
      </c>
      <c r="M62" s="15">
        <v>84.137558739800113</v>
      </c>
      <c r="N62" s="15">
        <f t="shared" si="17"/>
        <v>257.96160869556775</v>
      </c>
      <c r="O62" s="27">
        <v>4.59176902387971</v>
      </c>
      <c r="P62" s="19">
        <f t="shared" si="18"/>
        <v>140.78137539283929</v>
      </c>
      <c r="Q62" s="27">
        <v>1.2606865846812596</v>
      </c>
      <c r="R62" s="19">
        <f t="shared" si="19"/>
        <v>38.652029404730428</v>
      </c>
      <c r="S62" s="27">
        <v>9.0388834137827985</v>
      </c>
      <c r="T62" s="15">
        <f t="shared" si="20"/>
        <v>27.712771099550864</v>
      </c>
      <c r="U62" s="27">
        <v>2.9692411844769331</v>
      </c>
      <c r="V62" s="15">
        <f t="shared" si="21"/>
        <v>9.1035471438093971</v>
      </c>
      <c r="W62" s="27">
        <v>16.517571243206589</v>
      </c>
      <c r="X62" s="15">
        <f t="shared" si="22"/>
        <v>50.642059425782463</v>
      </c>
      <c r="Y62" s="27">
        <v>6.1439015703956681</v>
      </c>
      <c r="Z62" s="15">
        <f t="shared" si="23"/>
        <v>18.836899435932654</v>
      </c>
      <c r="AA62" s="24">
        <v>2917.965464792363</v>
      </c>
      <c r="AB62" s="15">
        <f t="shared" si="24"/>
        <v>8946.3383141859886</v>
      </c>
      <c r="AC62" s="24">
        <v>147.46707187660328</v>
      </c>
      <c r="AD62" s="15">
        <f t="shared" si="25"/>
        <v>452.12677501800158</v>
      </c>
      <c r="AE62" s="24">
        <v>312.71386163903816</v>
      </c>
      <c r="AF62" s="15">
        <f t="shared" si="26"/>
        <v>958.76528886796063</v>
      </c>
      <c r="AG62" s="24">
        <v>6.6307889056571963</v>
      </c>
      <c r="AH62" s="15">
        <f t="shared" si="27"/>
        <v>20.329672011447723</v>
      </c>
    </row>
    <row r="63" spans="1:34" x14ac:dyDescent="0.45">
      <c r="A63" s="11" t="s">
        <v>8</v>
      </c>
      <c r="B63" s="10" t="s">
        <v>9</v>
      </c>
      <c r="C63" s="29" t="s">
        <v>64</v>
      </c>
      <c r="D63" s="29" t="s">
        <v>57</v>
      </c>
      <c r="E63" s="29" t="s">
        <v>43</v>
      </c>
      <c r="F63" s="12">
        <v>1.5329753593952475</v>
      </c>
      <c r="G63" s="25">
        <v>0.12818339107494328</v>
      </c>
      <c r="H63" s="19">
        <f t="shared" si="14"/>
        <v>3930.0396000322553</v>
      </c>
      <c r="I63" s="15">
        <v>46.575681566902269</v>
      </c>
      <c r="J63" s="15">
        <f t="shared" si="15"/>
        <v>142.79874437820123</v>
      </c>
      <c r="K63" s="26">
        <v>26937.811413969961</v>
      </c>
      <c r="L63" s="15">
        <f t="shared" si="16"/>
        <v>82590.002267304022</v>
      </c>
      <c r="M63" s="15">
        <v>90.478145207227357</v>
      </c>
      <c r="N63" s="15">
        <f t="shared" si="17"/>
        <v>277.40153433292954</v>
      </c>
      <c r="O63" s="27">
        <v>3.9747707212409207</v>
      </c>
      <c r="P63" s="19">
        <f t="shared" si="18"/>
        <v>121.86451149816017</v>
      </c>
      <c r="Q63" s="27">
        <v>1.1457884987250613</v>
      </c>
      <c r="R63" s="19">
        <f t="shared" si="19"/>
        <v>35.12931071247985</v>
      </c>
      <c r="S63" s="27">
        <v>13.222890206414045</v>
      </c>
      <c r="T63" s="15">
        <f t="shared" si="20"/>
        <v>40.540729732842948</v>
      </c>
      <c r="U63" s="27">
        <v>3.3343774243082374</v>
      </c>
      <c r="V63" s="15">
        <f t="shared" si="21"/>
        <v>10.223036860776642</v>
      </c>
      <c r="W63" s="27">
        <v>16.943056369903601</v>
      </c>
      <c r="X63" s="15">
        <f t="shared" si="22"/>
        <v>51.946575855813833</v>
      </c>
      <c r="Y63" s="27">
        <v>9.2699709717966954</v>
      </c>
      <c r="Z63" s="15">
        <f t="shared" si="23"/>
        <v>28.42127416414711</v>
      </c>
      <c r="AA63" s="24">
        <v>2730.1614463790193</v>
      </c>
      <c r="AB63" s="15">
        <f t="shared" si="24"/>
        <v>8370.5404489398534</v>
      </c>
      <c r="AC63" s="24">
        <v>148.60112977663579</v>
      </c>
      <c r="AD63" s="15">
        <f t="shared" si="25"/>
        <v>455.60374065175625</v>
      </c>
      <c r="AE63" s="24">
        <v>336.14600390852786</v>
      </c>
      <c r="AF63" s="15">
        <f t="shared" si="26"/>
        <v>1030.6070823019038</v>
      </c>
      <c r="AG63" s="24">
        <v>7.3788147199432954</v>
      </c>
      <c r="AH63" s="15">
        <f t="shared" si="27"/>
        <v>22.623082294432038</v>
      </c>
    </row>
    <row r="64" spans="1:34" x14ac:dyDescent="0.45">
      <c r="A64" s="11" t="s">
        <v>8</v>
      </c>
      <c r="B64" s="10" t="s">
        <v>9</v>
      </c>
      <c r="C64" s="29" t="s">
        <v>64</v>
      </c>
      <c r="D64" s="29" t="s">
        <v>59</v>
      </c>
      <c r="E64" s="29" t="s">
        <v>43</v>
      </c>
      <c r="F64" s="12">
        <v>1.5329753593952475</v>
      </c>
      <c r="G64" s="25">
        <v>0.12799628571531824</v>
      </c>
      <c r="H64" s="19">
        <f t="shared" si="14"/>
        <v>3924.3030419139359</v>
      </c>
      <c r="I64" s="15">
        <v>47.826281778907855</v>
      </c>
      <c r="J64" s="15">
        <f t="shared" si="15"/>
        <v>146.63302299711933</v>
      </c>
      <c r="K64" s="26">
        <v>27599.750109911405</v>
      </c>
      <c r="L64" s="15">
        <f t="shared" si="16"/>
        <v>84619.473687920938</v>
      </c>
      <c r="M64" s="15">
        <v>91.965954337358241</v>
      </c>
      <c r="N64" s="15">
        <f t="shared" si="17"/>
        <v>281.96308380487739</v>
      </c>
      <c r="O64" s="27">
        <v>3.9721520502949685</v>
      </c>
      <c r="P64" s="19">
        <f t="shared" si="18"/>
        <v>121.78422433746999</v>
      </c>
      <c r="Q64" s="27">
        <v>1.1916456150884904</v>
      </c>
      <c r="R64" s="19">
        <f t="shared" si="19"/>
        <v>36.535267301240992</v>
      </c>
      <c r="S64" s="27">
        <v>12.425170763579445</v>
      </c>
      <c r="T64" s="15">
        <f t="shared" si="20"/>
        <v>38.094961233691052</v>
      </c>
      <c r="U64" s="27">
        <v>3.3081217862844223</v>
      </c>
      <c r="V64" s="15">
        <f t="shared" si="21"/>
        <v>10.142538368505223</v>
      </c>
      <c r="W64" s="27">
        <v>18.445285111404054</v>
      </c>
      <c r="X64" s="15">
        <f t="shared" si="22"/>
        <v>56.552335145604886</v>
      </c>
      <c r="Y64" s="27">
        <v>12.500690507565682</v>
      </c>
      <c r="Z64" s="15">
        <f t="shared" si="23"/>
        <v>38.326501047048531</v>
      </c>
      <c r="AA64" s="24">
        <v>2976.52849390237</v>
      </c>
      <c r="AB64" s="15">
        <f t="shared" si="24"/>
        <v>9125.8896753803638</v>
      </c>
      <c r="AC64" s="24">
        <v>168.81224183149035</v>
      </c>
      <c r="AD64" s="15">
        <f t="shared" si="25"/>
        <v>517.57001418389279</v>
      </c>
      <c r="AE64" s="24">
        <v>358.96856021638757</v>
      </c>
      <c r="AF64" s="15">
        <f t="shared" si="26"/>
        <v>1100.579915218623</v>
      </c>
      <c r="AG64" s="24">
        <v>10.866075336279838</v>
      </c>
      <c r="AH64" s="15">
        <f t="shared" si="27"/>
        <v>33.314851487698846</v>
      </c>
    </row>
    <row r="65" spans="1:34" x14ac:dyDescent="0.45">
      <c r="A65" s="11" t="s">
        <v>8</v>
      </c>
      <c r="B65" s="10" t="s">
        <v>9</v>
      </c>
      <c r="C65" s="29" t="s">
        <v>64</v>
      </c>
      <c r="D65" s="29" t="s">
        <v>60</v>
      </c>
      <c r="E65" s="29" t="s">
        <v>43</v>
      </c>
      <c r="F65" s="12">
        <v>1.5329753593952475</v>
      </c>
      <c r="G65" s="25">
        <v>0.11978440811258981</v>
      </c>
      <c r="H65" s="19">
        <f t="shared" si="14"/>
        <v>3672.5309215268876</v>
      </c>
      <c r="I65" s="15">
        <v>38.640899360476574</v>
      </c>
      <c r="J65" s="15">
        <f t="shared" si="15"/>
        <v>118.47109316896436</v>
      </c>
      <c r="K65" s="26">
        <v>30087.575283287755</v>
      </c>
      <c r="L65" s="15">
        <f t="shared" si="16"/>
        <v>92247.023066459238</v>
      </c>
      <c r="M65" s="15">
        <v>82.212538483097291</v>
      </c>
      <c r="N65" s="15">
        <f t="shared" si="17"/>
        <v>252.05959145584342</v>
      </c>
      <c r="O65" s="27">
        <v>4.6446763540661191</v>
      </c>
      <c r="P65" s="19">
        <f t="shared" si="18"/>
        <v>142.40348806298235</v>
      </c>
      <c r="Q65" s="27">
        <v>1.1999609288901332</v>
      </c>
      <c r="R65" s="19">
        <f t="shared" si="19"/>
        <v>36.790210724512143</v>
      </c>
      <c r="S65" s="27">
        <v>8.2117939915692695</v>
      </c>
      <c r="T65" s="15">
        <f t="shared" si="20"/>
        <v>25.176955691011276</v>
      </c>
      <c r="U65" s="27">
        <v>3.2807106493698321</v>
      </c>
      <c r="V65" s="15">
        <f t="shared" si="21"/>
        <v>10.05849717357907</v>
      </c>
      <c r="W65" s="27">
        <v>17.808107493610624</v>
      </c>
      <c r="X65" s="15">
        <f t="shared" si="22"/>
        <v>54.598779970333901</v>
      </c>
      <c r="Y65" s="27">
        <v>9.3807820130418644</v>
      </c>
      <c r="Z65" s="15">
        <f t="shared" si="23"/>
        <v>28.761015355702657</v>
      </c>
      <c r="AA65" s="24">
        <v>2942.2118929517687</v>
      </c>
      <c r="AB65" s="15">
        <f t="shared" si="24"/>
        <v>9020.6766680294204</v>
      </c>
      <c r="AC65" s="24">
        <v>163.12466208387087</v>
      </c>
      <c r="AD65" s="15">
        <f t="shared" si="25"/>
        <v>500.13217496850064</v>
      </c>
      <c r="AE65" s="24">
        <v>316.30269843092037</v>
      </c>
      <c r="AF65" s="15">
        <f t="shared" si="26"/>
        <v>969.76848560965368</v>
      </c>
      <c r="AG65" s="24">
        <v>7.2809300393532617</v>
      </c>
      <c r="AH65" s="15">
        <f t="shared" si="27"/>
        <v>22.322972687618446</v>
      </c>
    </row>
    <row r="66" spans="1:34" x14ac:dyDescent="0.45">
      <c r="A66" s="11" t="s">
        <v>8</v>
      </c>
      <c r="B66" s="10" t="s">
        <v>9</v>
      </c>
      <c r="C66" s="29" t="s">
        <v>64</v>
      </c>
      <c r="D66" s="29" t="s">
        <v>61</v>
      </c>
      <c r="E66" s="29" t="s">
        <v>43</v>
      </c>
      <c r="F66" s="12">
        <v>1.5329753593952475</v>
      </c>
      <c r="G66" s="25">
        <v>0.11988196010701259</v>
      </c>
      <c r="H66" s="19">
        <f t="shared" si="14"/>
        <v>3675.5218176010876</v>
      </c>
      <c r="I66" s="15">
        <v>31.325819875026578</v>
      </c>
      <c r="J66" s="15">
        <f t="shared" si="15"/>
        <v>96.043419962539332</v>
      </c>
      <c r="K66" s="26">
        <v>24652.864162003159</v>
      </c>
      <c r="L66" s="15">
        <f t="shared" si="16"/>
        <v>75584.466597738035</v>
      </c>
      <c r="M66" s="15">
        <v>81.372987722702177</v>
      </c>
      <c r="N66" s="15">
        <f t="shared" si="17"/>
        <v>249.48557019854894</v>
      </c>
      <c r="O66" s="27">
        <v>4.2731476747571389</v>
      </c>
      <c r="P66" s="19">
        <f t="shared" si="18"/>
        <v>131.01260184919585</v>
      </c>
      <c r="Q66" s="27">
        <v>1.1120480695753518</v>
      </c>
      <c r="R66" s="19">
        <f t="shared" si="19"/>
        <v>34.094845782441332</v>
      </c>
      <c r="S66" s="27">
        <v>10.617549159470967</v>
      </c>
      <c r="T66" s="15">
        <f t="shared" si="20"/>
        <v>32.552882477273435</v>
      </c>
      <c r="U66" s="27">
        <v>2.7195878733262897</v>
      </c>
      <c r="V66" s="15">
        <f t="shared" ref="V66:V97" si="28">F66*0.2*10000*1000*U66/1000000</f>
        <v>8.3381223950386545</v>
      </c>
      <c r="W66" s="27">
        <v>18.121043408584651</v>
      </c>
      <c r="X66" s="15">
        <f t="shared" ref="X66:X97" si="29">F66*0.2*10000*1000*W66/1000000</f>
        <v>55.558226063783884</v>
      </c>
      <c r="Y66" s="27">
        <v>9.5233287634373252</v>
      </c>
      <c r="Z66" s="15">
        <f t="shared" ref="Z66:Z97" si="30">F66*0.2*10000*1000*Y66/1000000</f>
        <v>29.198056667538872</v>
      </c>
      <c r="AA66" s="24">
        <v>2756.437668752978</v>
      </c>
      <c r="AB66" s="15">
        <f t="shared" ref="AB66:AB97" si="31">F66*0.2*10000*1000*AA66/1000000</f>
        <v>8451.1020518143905</v>
      </c>
      <c r="AC66" s="24">
        <v>166.80721043630277</v>
      </c>
      <c r="AD66" s="15">
        <f t="shared" ref="AD66:AD97" si="32">F66*0.2*10000*1000*AC66/1000000</f>
        <v>511.42268673661994</v>
      </c>
      <c r="AE66" s="24">
        <v>305.81321913322171</v>
      </c>
      <c r="AF66" s="15">
        <f t="shared" ref="AF66:AF97" si="33">F66*0.2*10000*1000*AE66/1000000</f>
        <v>937.60825901713645</v>
      </c>
      <c r="AG66" s="24">
        <v>17.504460354426833</v>
      </c>
      <c r="AH66" s="15">
        <f t="shared" ref="AH66:AH97" si="34">F66*0.2*10000*1000*AG66/1000000</f>
        <v>53.667812805694687</v>
      </c>
    </row>
    <row r="67" spans="1:34" x14ac:dyDescent="0.45">
      <c r="A67" s="11" t="s">
        <v>8</v>
      </c>
      <c r="B67" s="10" t="s">
        <v>9</v>
      </c>
      <c r="C67" s="29" t="s">
        <v>64</v>
      </c>
      <c r="D67" s="29" t="s">
        <v>62</v>
      </c>
      <c r="E67" s="29" t="s">
        <v>43</v>
      </c>
      <c r="F67" s="12">
        <v>1.5329753593952475</v>
      </c>
      <c r="G67" s="25">
        <v>0.13337146280710555</v>
      </c>
      <c r="H67" s="19">
        <f t="shared" si="14"/>
        <v>4089.1033225958513</v>
      </c>
      <c r="I67" s="15">
        <v>34.121165877429419</v>
      </c>
      <c r="J67" s="15">
        <f t="shared" si="15"/>
        <v>104.61381304787446</v>
      </c>
      <c r="K67" s="26">
        <v>28070.610300327106</v>
      </c>
      <c r="L67" s="15">
        <f t="shared" si="16"/>
        <v>86063.107827175787</v>
      </c>
      <c r="M67" s="15">
        <v>93.535637855860287</v>
      </c>
      <c r="N67" s="15">
        <f t="shared" si="17"/>
        <v>286.77565611670235</v>
      </c>
      <c r="O67" s="27">
        <v>3.8581516421546413</v>
      </c>
      <c r="P67" s="19">
        <f t="shared" si="18"/>
        <v>118.28902800466754</v>
      </c>
      <c r="Q67" s="27">
        <v>1.1879045845581395</v>
      </c>
      <c r="R67" s="19">
        <f t="shared" si="19"/>
        <v>36.420569148805527</v>
      </c>
      <c r="S67" s="27">
        <v>16.567386344501855</v>
      </c>
      <c r="T67" s="15">
        <f t="shared" si="20"/>
        <v>50.794790071405309</v>
      </c>
      <c r="U67" s="27">
        <v>2.7839759683464242</v>
      </c>
      <c r="V67" s="15">
        <f t="shared" si="28"/>
        <v>8.5355331212471857</v>
      </c>
      <c r="W67" s="27">
        <v>24.437122388818612</v>
      </c>
      <c r="X67" s="15">
        <f t="shared" si="29"/>
        <v>74.923012953169732</v>
      </c>
      <c r="Y67" s="27">
        <v>17.591934165572564</v>
      </c>
      <c r="Z67" s="15">
        <f t="shared" si="30"/>
        <v>53.93600319985228</v>
      </c>
      <c r="AA67" s="24">
        <v>2715.4937443010394</v>
      </c>
      <c r="AB67" s="15">
        <f t="shared" si="31"/>
        <v>8325.5699972108669</v>
      </c>
      <c r="AC67" s="24">
        <v>195.00525546322905</v>
      </c>
      <c r="AD67" s="15">
        <f t="shared" si="32"/>
        <v>597.87650315541134</v>
      </c>
      <c r="AE67" s="24">
        <v>369.96324167322888</v>
      </c>
      <c r="AF67" s="15">
        <f t="shared" si="33"/>
        <v>1134.289066734098</v>
      </c>
      <c r="AG67" s="24">
        <v>6.2693278391916625</v>
      </c>
      <c r="AH67" s="15">
        <f t="shared" si="34"/>
        <v>19.221450194902943</v>
      </c>
    </row>
    <row r="68" spans="1:34" x14ac:dyDescent="0.45">
      <c r="A68" s="11" t="s">
        <v>8</v>
      </c>
      <c r="B68" s="10" t="s">
        <v>9</v>
      </c>
      <c r="C68" s="29" t="s">
        <v>64</v>
      </c>
      <c r="D68" s="29" t="s">
        <v>51</v>
      </c>
      <c r="E68" s="29" t="s">
        <v>44</v>
      </c>
      <c r="F68" s="12">
        <v>1.5329753593952475</v>
      </c>
      <c r="G68" s="25">
        <v>0.1186625437626512</v>
      </c>
      <c r="H68" s="19">
        <f t="shared" si="14"/>
        <v>3638.1351134260908</v>
      </c>
      <c r="I68" s="15">
        <v>54.341632253147679</v>
      </c>
      <c r="J68" s="15">
        <f t="shared" si="15"/>
        <v>166.60876646678693</v>
      </c>
      <c r="K68" s="26">
        <v>26609.25712872732</v>
      </c>
      <c r="L68" s="15">
        <f t="shared" si="16"/>
        <v>81582.67102030266</v>
      </c>
      <c r="M68" s="15">
        <v>87.257628896151274</v>
      </c>
      <c r="N68" s="15">
        <f t="shared" si="17"/>
        <v>267.52759003410932</v>
      </c>
      <c r="O68" s="27">
        <v>4.1511581517548715</v>
      </c>
      <c r="P68" s="19">
        <f t="shared" si="18"/>
        <v>127.27246319185873</v>
      </c>
      <c r="Q68" s="27">
        <v>1.1468969954726171</v>
      </c>
      <c r="R68" s="19">
        <f t="shared" si="19"/>
        <v>35.163296676479305</v>
      </c>
      <c r="S68" s="27">
        <v>14.233441218231684</v>
      </c>
      <c r="T68" s="15">
        <f t="shared" si="20"/>
        <v>43.6390293338997</v>
      </c>
      <c r="U68" s="27">
        <v>2.8315094803225072</v>
      </c>
      <c r="V68" s="15">
        <f t="shared" si="28"/>
        <v>8.6812685264568952</v>
      </c>
      <c r="W68" s="27">
        <v>19.297674367633537</v>
      </c>
      <c r="X68" s="15">
        <f t="shared" si="29"/>
        <v>59.165718598430971</v>
      </c>
      <c r="Y68" s="27">
        <v>5.2683834930042481</v>
      </c>
      <c r="Z68" s="15">
        <f t="shared" si="30"/>
        <v>16.152604157240358</v>
      </c>
      <c r="AA68" s="24">
        <v>2797.2569250974907</v>
      </c>
      <c r="AB68" s="15">
        <f t="shared" si="31"/>
        <v>8576.2518801443439</v>
      </c>
      <c r="AC68" s="24">
        <v>160.61668795721076</v>
      </c>
      <c r="AD68" s="15">
        <f t="shared" si="32"/>
        <v>492.44284989215913</v>
      </c>
      <c r="AE68" s="24">
        <v>297.77251138134579</v>
      </c>
      <c r="AF68" s="15">
        <f t="shared" si="33"/>
        <v>912.95584530568829</v>
      </c>
      <c r="AG68" s="24">
        <v>7.1104466354091054</v>
      </c>
      <c r="AH68" s="15">
        <f t="shared" si="34"/>
        <v>21.800278972754008</v>
      </c>
    </row>
    <row r="69" spans="1:34" x14ac:dyDescent="0.45">
      <c r="A69" s="11" t="s">
        <v>8</v>
      </c>
      <c r="B69" s="10" t="s">
        <v>9</v>
      </c>
      <c r="C69" s="29" t="s">
        <v>64</v>
      </c>
      <c r="D69" s="29" t="s">
        <v>52</v>
      </c>
      <c r="E69" s="29" t="s">
        <v>44</v>
      </c>
      <c r="F69" s="12">
        <v>1.5329753593952475</v>
      </c>
      <c r="G69" s="25">
        <v>0.12165025153664155</v>
      </c>
      <c r="H69" s="19">
        <f t="shared" si="14"/>
        <v>3729.7367613981078</v>
      </c>
      <c r="I69" s="15">
        <v>40.123306077915203</v>
      </c>
      <c r="J69" s="15">
        <f t="shared" si="15"/>
        <v>123.01607910983518</v>
      </c>
      <c r="K69" s="26">
        <v>27215.808611453707</v>
      </c>
      <c r="L69" s="15">
        <f t="shared" si="16"/>
        <v>83442.327974751053</v>
      </c>
      <c r="M69" s="15">
        <v>84.649169431212613</v>
      </c>
      <c r="N69" s="15">
        <f t="shared" si="17"/>
        <v>259.53018186264478</v>
      </c>
      <c r="O69" s="27">
        <v>3.7910020465836691</v>
      </c>
      <c r="P69" s="19">
        <f t="shared" si="18"/>
        <v>116.23025449659441</v>
      </c>
      <c r="Q69" s="27">
        <v>1.1885303713613664</v>
      </c>
      <c r="R69" s="19">
        <f t="shared" si="19"/>
        <v>36.439755463797162</v>
      </c>
      <c r="S69" s="27">
        <v>12.635376092118925</v>
      </c>
      <c r="T69" s="15">
        <f t="shared" si="20"/>
        <v>38.739440411820262</v>
      </c>
      <c r="U69" s="27">
        <v>3.0205519533058061</v>
      </c>
      <c r="V69" s="15">
        <f t="shared" si="28"/>
        <v>9.2608634323819725</v>
      </c>
      <c r="W69" s="27">
        <v>17.046679340438708</v>
      </c>
      <c r="X69" s="15">
        <f t="shared" si="29"/>
        <v>52.264278776809149</v>
      </c>
      <c r="Y69" s="27">
        <v>13.04918319101419</v>
      </c>
      <c r="Z69" s="15">
        <f t="shared" si="30"/>
        <v>40.008152584118811</v>
      </c>
      <c r="AA69" s="24">
        <v>2798.8175616945623</v>
      </c>
      <c r="AB69" s="15">
        <f t="shared" si="31"/>
        <v>8581.0367150409056</v>
      </c>
      <c r="AC69" s="24">
        <v>162.05331418104487</v>
      </c>
      <c r="AD69" s="15">
        <f t="shared" si="32"/>
        <v>496.84747509575652</v>
      </c>
      <c r="AE69" s="24">
        <v>356.51729119829872</v>
      </c>
      <c r="AF69" s="15">
        <f t="shared" si="33"/>
        <v>1093.0644452106644</v>
      </c>
      <c r="AG69" s="24">
        <v>10.266861582308779</v>
      </c>
      <c r="AH69" s="15">
        <f t="shared" si="34"/>
        <v>31.477691648002128</v>
      </c>
    </row>
    <row r="70" spans="1:34" x14ac:dyDescent="0.45">
      <c r="A70" s="11" t="s">
        <v>8</v>
      </c>
      <c r="B70" s="10" t="s">
        <v>9</v>
      </c>
      <c r="C70" s="29" t="s">
        <v>64</v>
      </c>
      <c r="D70" s="29" t="s">
        <v>53</v>
      </c>
      <c r="E70" s="29" t="s">
        <v>44</v>
      </c>
      <c r="F70" s="12">
        <v>1.5329753593952475</v>
      </c>
      <c r="G70" s="25">
        <v>0.12536308398985685</v>
      </c>
      <c r="H70" s="19">
        <f t="shared" si="14"/>
        <v>3843.5703746849485</v>
      </c>
      <c r="I70" s="15">
        <v>35.891477744154059</v>
      </c>
      <c r="J70" s="15">
        <f t="shared" si="15"/>
        <v>110.04150198814222</v>
      </c>
      <c r="K70" s="26">
        <v>25763.197723200996</v>
      </c>
      <c r="L70" s="15">
        <f t="shared" si="16"/>
        <v>78988.694577789764</v>
      </c>
      <c r="M70" s="15">
        <v>85.156218428595665</v>
      </c>
      <c r="N70" s="15">
        <f t="shared" si="17"/>
        <v>261.08476910063337</v>
      </c>
      <c r="O70" s="27">
        <v>4.2761794914095317</v>
      </c>
      <c r="P70" s="19">
        <f t="shared" si="18"/>
        <v>131.1055558536423</v>
      </c>
      <c r="Q70" s="27">
        <v>1.1810400500083467</v>
      </c>
      <c r="R70" s="19">
        <f t="shared" si="19"/>
        <v>36.210105902434535</v>
      </c>
      <c r="S70" s="27">
        <v>13.072986562712128</v>
      </c>
      <c r="T70" s="15">
        <f t="shared" si="20"/>
        <v>40.081132548685744</v>
      </c>
      <c r="U70" s="27">
        <v>2.8637122617191828</v>
      </c>
      <c r="V70" s="15">
        <f t="shared" si="28"/>
        <v>8.7800006672270854</v>
      </c>
      <c r="W70" s="27">
        <v>28.352712837774511</v>
      </c>
      <c r="X70" s="15">
        <f t="shared" si="29"/>
        <v>86.928020304635282</v>
      </c>
      <c r="Y70" s="27">
        <v>13.484946437889988</v>
      </c>
      <c r="Z70" s="15">
        <f t="shared" si="30"/>
        <v>41.34418122410014</v>
      </c>
      <c r="AA70" s="24">
        <v>2576.7689469105053</v>
      </c>
      <c r="AB70" s="15">
        <f t="shared" si="31"/>
        <v>7900.2466049372924</v>
      </c>
      <c r="AC70" s="24">
        <v>194.91995568711494</v>
      </c>
      <c r="AD70" s="15">
        <f t="shared" si="32"/>
        <v>597.61497824552168</v>
      </c>
      <c r="AE70" s="24">
        <v>275.98479707100853</v>
      </c>
      <c r="AF70" s="15">
        <f t="shared" si="33"/>
        <v>846.15578695510771</v>
      </c>
      <c r="AG70" s="24">
        <v>8.3068691395630285</v>
      </c>
      <c r="AH70" s="15">
        <f t="shared" si="34"/>
        <v>25.468451409341853</v>
      </c>
    </row>
    <row r="71" spans="1:34" x14ac:dyDescent="0.45">
      <c r="A71" s="11" t="s">
        <v>8</v>
      </c>
      <c r="B71" s="10" t="s">
        <v>9</v>
      </c>
      <c r="C71" s="29" t="s">
        <v>64</v>
      </c>
      <c r="D71" s="29" t="s">
        <v>54</v>
      </c>
      <c r="E71" s="29" t="s">
        <v>44</v>
      </c>
      <c r="F71" s="12">
        <v>1.3065264569402053</v>
      </c>
      <c r="G71" s="25">
        <v>0.11620663391022122</v>
      </c>
      <c r="H71" s="19">
        <f t="shared" si="14"/>
        <v>3036.540833513377</v>
      </c>
      <c r="I71" s="15">
        <v>50.026309263723398</v>
      </c>
      <c r="J71" s="15">
        <f t="shared" si="15"/>
        <v>130.72139319225502</v>
      </c>
      <c r="K71" s="26">
        <v>26484.516669030039</v>
      </c>
      <c r="L71" s="15">
        <f t="shared" si="16"/>
        <v>69205.443454723267</v>
      </c>
      <c r="M71" s="15">
        <v>86.90845099540968</v>
      </c>
      <c r="N71" s="15">
        <f t="shared" si="17"/>
        <v>227.09638111438818</v>
      </c>
      <c r="O71" s="27">
        <v>4.1686040692238402</v>
      </c>
      <c r="P71" s="19">
        <f t="shared" si="18"/>
        <v>108.92783009899094</v>
      </c>
      <c r="Q71" s="27">
        <v>1.2069680881694334</v>
      </c>
      <c r="R71" s="19">
        <f t="shared" si="19"/>
        <v>31.538714797518065</v>
      </c>
      <c r="S71" s="27">
        <v>10.178834082739801</v>
      </c>
      <c r="T71" s="15">
        <f t="shared" si="20"/>
        <v>26.597832059808479</v>
      </c>
      <c r="U71" s="27">
        <v>3.7962659111440762</v>
      </c>
      <c r="V71" s="15">
        <f t="shared" si="28"/>
        <v>9.9198437009799019</v>
      </c>
      <c r="W71" s="27">
        <v>17.06332086239366</v>
      </c>
      <c r="X71" s="15">
        <f t="shared" si="29"/>
        <v>44.587360299954163</v>
      </c>
      <c r="Y71" s="27">
        <v>6.5987449345540998</v>
      </c>
      <c r="Z71" s="15">
        <f t="shared" si="30"/>
        <v>17.242869679190193</v>
      </c>
      <c r="AA71" s="24">
        <v>2782.3852258786305</v>
      </c>
      <c r="AB71" s="15">
        <f t="shared" si="31"/>
        <v>7270.5198220199618</v>
      </c>
      <c r="AC71" s="24">
        <v>134.58435372283597</v>
      </c>
      <c r="AD71" s="15">
        <f t="shared" si="32"/>
        <v>351.67603765816847</v>
      </c>
      <c r="AE71" s="24">
        <v>315.00540762663786</v>
      </c>
      <c r="AF71" s="15">
        <f t="shared" si="33"/>
        <v>823.12579828687274</v>
      </c>
      <c r="AG71" s="24">
        <v>11.117837916234278</v>
      </c>
      <c r="AH71" s="15">
        <f t="shared" si="34"/>
        <v>29.0514987630661</v>
      </c>
    </row>
    <row r="72" spans="1:34" x14ac:dyDescent="0.45">
      <c r="A72" s="11" t="s">
        <v>8</v>
      </c>
      <c r="B72" s="10" t="s">
        <v>9</v>
      </c>
      <c r="C72" s="29" t="s">
        <v>64</v>
      </c>
      <c r="D72" s="29" t="s">
        <v>55</v>
      </c>
      <c r="E72" s="29" t="s">
        <v>44</v>
      </c>
      <c r="F72" s="12">
        <v>1.3065264569402053</v>
      </c>
      <c r="G72" s="25">
        <v>0.11967515713921219</v>
      </c>
      <c r="H72" s="19">
        <f t="shared" si="14"/>
        <v>3127.1751808171448</v>
      </c>
      <c r="I72" s="15">
        <v>49.579761442430062</v>
      </c>
      <c r="J72" s="15">
        <f t="shared" si="15"/>
        <v>129.55454010663752</v>
      </c>
      <c r="K72" s="26">
        <v>25526.213811944192</v>
      </c>
      <c r="L72" s="15">
        <f t="shared" si="16"/>
        <v>66701.347381635162</v>
      </c>
      <c r="M72" s="15">
        <v>83.549261361401932</v>
      </c>
      <c r="N72" s="15">
        <f t="shared" si="17"/>
        <v>218.31864085296735</v>
      </c>
      <c r="O72" s="27">
        <v>4.2455512980810965</v>
      </c>
      <c r="P72" s="19">
        <f t="shared" si="18"/>
        <v>110.9385019047957</v>
      </c>
      <c r="Q72" s="27">
        <v>1.1335209776430111</v>
      </c>
      <c r="R72" s="19">
        <f t="shared" si="19"/>
        <v>29.619502935746421</v>
      </c>
      <c r="S72" s="27">
        <v>10.81794229664839</v>
      </c>
      <c r="T72" s="15">
        <f t="shared" si="20"/>
        <v>28.267855640447223</v>
      </c>
      <c r="U72" s="27">
        <v>3.3961917355990114</v>
      </c>
      <c r="V72" s="15">
        <f t="shared" si="28"/>
        <v>8.8744287108035689</v>
      </c>
      <c r="W72" s="27">
        <v>17.298185378572985</v>
      </c>
      <c r="X72" s="15">
        <f t="shared" si="29"/>
        <v>45.201073708323655</v>
      </c>
      <c r="Y72" s="27">
        <v>8.3225357916327418</v>
      </c>
      <c r="Z72" s="15">
        <f t="shared" si="30"/>
        <v>21.747226401199949</v>
      </c>
      <c r="AA72" s="24">
        <v>2789.2146434135279</v>
      </c>
      <c r="AB72" s="15">
        <f t="shared" si="31"/>
        <v>7288.3654514096306</v>
      </c>
      <c r="AC72" s="24">
        <v>155.56188242128735</v>
      </c>
      <c r="AD72" s="15">
        <f t="shared" si="32"/>
        <v>406.49143014966677</v>
      </c>
      <c r="AE72" s="24">
        <v>294.27948458039714</v>
      </c>
      <c r="AF72" s="15">
        <f t="shared" si="33"/>
        <v>768.96786467803224</v>
      </c>
      <c r="AG72" s="24">
        <v>10.403820161933231</v>
      </c>
      <c r="AH72" s="15">
        <f t="shared" si="34"/>
        <v>27.185732589627399</v>
      </c>
    </row>
    <row r="73" spans="1:34" x14ac:dyDescent="0.45">
      <c r="A73" s="11" t="s">
        <v>8</v>
      </c>
      <c r="B73" s="10" t="s">
        <v>9</v>
      </c>
      <c r="C73" s="29" t="s">
        <v>64</v>
      </c>
      <c r="D73" s="29" t="s">
        <v>56</v>
      </c>
      <c r="E73" s="29" t="s">
        <v>44</v>
      </c>
      <c r="F73" s="12">
        <v>1.3065264569402053</v>
      </c>
      <c r="G73" s="25">
        <v>0.11965175011546011</v>
      </c>
      <c r="H73" s="19">
        <f t="shared" ref="H73:H111" si="35">F73*0.2*10000*G73/100*1000</f>
        <v>3126.563542900938</v>
      </c>
      <c r="I73" s="15">
        <v>46.910964993464468</v>
      </c>
      <c r="J73" s="15">
        <f t="shared" ref="J73:J111" si="36">F73*0.2*10000*1000*I73/1000000</f>
        <v>122.58083376911429</v>
      </c>
      <c r="K73" s="26">
        <v>26351.221076575719</v>
      </c>
      <c r="L73" s="15">
        <f t="shared" ref="L73:L111" si="37">F73*0.2*10000*1000*K73/1000000</f>
        <v>68857.135018453075</v>
      </c>
      <c r="M73" s="15">
        <v>86.389534298663989</v>
      </c>
      <c r="N73" s="15">
        <f t="shared" ref="N73:N111" si="38">F73*0.2*10000*1000*M73/1000000</f>
        <v>225.74042432789565</v>
      </c>
      <c r="O73" s="27">
        <v>5.4995577534529492</v>
      </c>
      <c r="P73" s="19">
        <f t="shared" ref="P73:P111" si="39">F73*0.2*10000*O73/100</f>
        <v>143.70635412713835</v>
      </c>
      <c r="Q73" s="27">
        <v>0.97291990051774702</v>
      </c>
      <c r="R73" s="19">
        <f t="shared" ref="R73:R111" si="40">F73*0.2*10000*Q73/100</f>
        <v>25.422911810201381</v>
      </c>
      <c r="S73" s="27">
        <v>6.6057394568939278</v>
      </c>
      <c r="T73" s="15">
        <f t="shared" ref="T73:T111" si="41">F73*0.2*10000*1000*S73/1000000</f>
        <v>17.261146736171483</v>
      </c>
      <c r="U73" s="27">
        <v>3.1265856916449333</v>
      </c>
      <c r="V73" s="15">
        <f t="shared" si="28"/>
        <v>8.1699338520495921</v>
      </c>
      <c r="W73" s="27">
        <v>17.288179706742575</v>
      </c>
      <c r="X73" s="15">
        <f t="shared" si="29"/>
        <v>45.174928358391874</v>
      </c>
      <c r="Y73" s="27">
        <v>6.359649533779324</v>
      </c>
      <c r="Z73" s="15">
        <f t="shared" si="30"/>
        <v>16.618100745500261</v>
      </c>
      <c r="AA73" s="24">
        <v>2872.4770747067496</v>
      </c>
      <c r="AB73" s="15">
        <f t="shared" si="31"/>
        <v>7505.9345901171509</v>
      </c>
      <c r="AC73" s="24">
        <v>139.83261728089079</v>
      </c>
      <c r="AD73" s="15">
        <f t="shared" si="32"/>
        <v>365.39002804135595</v>
      </c>
      <c r="AE73" s="24">
        <v>248.1536588365104</v>
      </c>
      <c r="AF73" s="15">
        <f t="shared" si="33"/>
        <v>648.43864131282885</v>
      </c>
      <c r="AG73" s="24">
        <v>9.7685884748340595</v>
      </c>
      <c r="AH73" s="15">
        <f t="shared" si="34"/>
        <v>25.525838578663741</v>
      </c>
    </row>
    <row r="74" spans="1:34" x14ac:dyDescent="0.45">
      <c r="A74" s="11" t="s">
        <v>8</v>
      </c>
      <c r="B74" s="10" t="s">
        <v>9</v>
      </c>
      <c r="C74" s="29" t="s">
        <v>64</v>
      </c>
      <c r="D74" s="29" t="s">
        <v>57</v>
      </c>
      <c r="E74" s="29" t="s">
        <v>44</v>
      </c>
      <c r="F74" s="12">
        <v>1.3065264569402053</v>
      </c>
      <c r="G74" s="25">
        <v>0.11614125394321718</v>
      </c>
      <c r="H74" s="19">
        <f t="shared" si="35"/>
        <v>3034.8324203804846</v>
      </c>
      <c r="I74" s="15">
        <v>46.344756040806764</v>
      </c>
      <c r="J74" s="15">
        <f t="shared" si="36"/>
        <v>121.10129981550691</v>
      </c>
      <c r="K74" s="26">
        <v>27026.099635027698</v>
      </c>
      <c r="L74" s="15">
        <f t="shared" si="37"/>
        <v>70620.628402131435</v>
      </c>
      <c r="M74" s="15">
        <v>87.684678815867628</v>
      </c>
      <c r="N74" s="15">
        <f t="shared" si="38"/>
        <v>229.12470548247086</v>
      </c>
      <c r="O74" s="27">
        <v>3.9747504945898924</v>
      </c>
      <c r="P74" s="19">
        <f t="shared" si="39"/>
        <v>103.86233361835723</v>
      </c>
      <c r="Q74" s="27">
        <v>1.1341833030834914</v>
      </c>
      <c r="R74" s="19">
        <f t="shared" si="40"/>
        <v>29.636809849968262</v>
      </c>
      <c r="S74" s="27">
        <v>8.0038080544068571</v>
      </c>
      <c r="T74" s="15">
        <f t="shared" si="41"/>
        <v>20.914373958707341</v>
      </c>
      <c r="U74" s="27">
        <v>4.4761939139891433</v>
      </c>
      <c r="V74" s="15">
        <f t="shared" si="28"/>
        <v>11.696531550043092</v>
      </c>
      <c r="W74" s="27">
        <v>14.976149878532603</v>
      </c>
      <c r="X74" s="15">
        <f t="shared" si="29"/>
        <v>39.133472078809383</v>
      </c>
      <c r="Y74" s="27">
        <v>6.5428830077565587</v>
      </c>
      <c r="Z74" s="15">
        <f t="shared" si="30"/>
        <v>17.096899508596906</v>
      </c>
      <c r="AA74" s="24">
        <v>2915.322784026961</v>
      </c>
      <c r="AB74" s="15">
        <f t="shared" si="31"/>
        <v>7617.8926957036028</v>
      </c>
      <c r="AC74" s="24">
        <v>137.46890864391196</v>
      </c>
      <c r="AD74" s="15">
        <f t="shared" si="32"/>
        <v>359.21353229993417</v>
      </c>
      <c r="AE74" s="24">
        <v>317.16041065702541</v>
      </c>
      <c r="AF74" s="15">
        <f t="shared" si="33"/>
        <v>828.75693523484802</v>
      </c>
      <c r="AG74" s="24">
        <v>8.906021438573438</v>
      </c>
      <c r="AH74" s="15">
        <f t="shared" si="34"/>
        <v>23.27190527114573</v>
      </c>
    </row>
    <row r="75" spans="1:34" x14ac:dyDescent="0.45">
      <c r="A75" s="11" t="s">
        <v>8</v>
      </c>
      <c r="B75" s="10" t="s">
        <v>9</v>
      </c>
      <c r="C75" s="29" t="s">
        <v>64</v>
      </c>
      <c r="D75" s="29" t="s">
        <v>59</v>
      </c>
      <c r="E75" s="29" t="s">
        <v>44</v>
      </c>
      <c r="F75" s="12">
        <v>1.3065264569402053</v>
      </c>
      <c r="G75" s="25">
        <v>0.1275566428577754</v>
      </c>
      <c r="H75" s="19">
        <f t="shared" si="35"/>
        <v>3333.1225730431293</v>
      </c>
      <c r="I75" s="15">
        <v>48.12612230466187</v>
      </c>
      <c r="J75" s="15">
        <f t="shared" si="36"/>
        <v>125.75610412196174</v>
      </c>
      <c r="K75" s="26">
        <v>28816.258416988894</v>
      </c>
      <c r="L75" s="15">
        <f t="shared" si="37"/>
        <v>75298.408023643758</v>
      </c>
      <c r="M75" s="15">
        <v>94.271745749049558</v>
      </c>
      <c r="N75" s="15">
        <f t="shared" si="38"/>
        <v>246.33705992614719</v>
      </c>
      <c r="O75" s="27">
        <v>3.9958545004891266</v>
      </c>
      <c r="P75" s="19">
        <f t="shared" si="39"/>
        <v>104.41379245945265</v>
      </c>
      <c r="Q75" s="27">
        <v>1.2255326947376444</v>
      </c>
      <c r="R75" s="19">
        <f t="shared" si="40"/>
        <v>32.023817790399136</v>
      </c>
      <c r="S75" s="27">
        <v>9.1250181454569486</v>
      </c>
      <c r="T75" s="15">
        <f t="shared" si="41"/>
        <v>23.844155254197904</v>
      </c>
      <c r="U75" s="27">
        <v>3.0014117518180212</v>
      </c>
      <c r="V75" s="15">
        <f t="shared" si="28"/>
        <v>7.8428477238429899</v>
      </c>
      <c r="W75" s="27">
        <v>23.330052531401265</v>
      </c>
      <c r="X75" s="15">
        <f t="shared" si="29"/>
        <v>60.962661748161139</v>
      </c>
      <c r="Y75" s="27">
        <v>13.002826569553728</v>
      </c>
      <c r="Z75" s="15">
        <f t="shared" si="30"/>
        <v>33.977073856253995</v>
      </c>
      <c r="AA75" s="24">
        <v>3047.172246431217</v>
      </c>
      <c r="AB75" s="15">
        <f t="shared" si="31"/>
        <v>7962.4223176326095</v>
      </c>
      <c r="AC75" s="24">
        <v>207.99121363977159</v>
      </c>
      <c r="AD75" s="15">
        <f t="shared" si="32"/>
        <v>543.49204686292831</v>
      </c>
      <c r="AE75" s="24">
        <v>365.49912299804521</v>
      </c>
      <c r="AF75" s="15">
        <f t="shared" si="33"/>
        <v>955.06854837077674</v>
      </c>
      <c r="AG75" s="24">
        <v>7.0474692776971164</v>
      </c>
      <c r="AH75" s="15">
        <f t="shared" si="34"/>
        <v>18.415410131569125</v>
      </c>
    </row>
    <row r="76" spans="1:34" x14ac:dyDescent="0.45">
      <c r="A76" s="11" t="s">
        <v>8</v>
      </c>
      <c r="B76" s="10" t="s">
        <v>9</v>
      </c>
      <c r="C76" s="29" t="s">
        <v>64</v>
      </c>
      <c r="D76" s="29" t="s">
        <v>60</v>
      </c>
      <c r="E76" s="29" t="s">
        <v>44</v>
      </c>
      <c r="F76" s="12">
        <v>1.3065264569402053</v>
      </c>
      <c r="G76" s="25">
        <v>0.12603217537061759</v>
      </c>
      <c r="H76" s="19">
        <f t="shared" si="35"/>
        <v>3293.2874309487925</v>
      </c>
      <c r="I76" s="15">
        <v>39.655196936223305</v>
      </c>
      <c r="J76" s="15">
        <f t="shared" si="36"/>
        <v>103.62112790469986</v>
      </c>
      <c r="K76" s="26">
        <v>25435.404095456364</v>
      </c>
      <c r="L76" s="15">
        <f t="shared" si="37"/>
        <v>66464.056787358</v>
      </c>
      <c r="M76" s="15">
        <v>83.916805637765478</v>
      </c>
      <c r="N76" s="15">
        <f t="shared" si="38"/>
        <v>219.27905349529919</v>
      </c>
      <c r="O76" s="27">
        <v>4.4883274011087817</v>
      </c>
      <c r="P76" s="19">
        <f t="shared" si="39"/>
        <v>117.28236993916593</v>
      </c>
      <c r="Q76" s="27">
        <v>1.1426705080804467</v>
      </c>
      <c r="R76" s="19">
        <f t="shared" si="40"/>
        <v>29.858585007448209</v>
      </c>
      <c r="S76" s="27">
        <v>10.361191273611187</v>
      </c>
      <c r="T76" s="15">
        <f t="shared" si="41"/>
        <v>27.074341048781999</v>
      </c>
      <c r="U76" s="27">
        <v>2.7669359110741873</v>
      </c>
      <c r="V76" s="15">
        <f t="shared" si="28"/>
        <v>7.2301499449527551</v>
      </c>
      <c r="W76" s="27">
        <v>19.75653501080647</v>
      </c>
      <c r="X76" s="15">
        <f t="shared" si="29"/>
        <v>51.624871378168201</v>
      </c>
      <c r="Y76" s="27">
        <v>9.2605567208276334</v>
      </c>
      <c r="Z76" s="15">
        <f t="shared" si="30"/>
        <v>24.198324723513473</v>
      </c>
      <c r="AA76" s="24">
        <v>2791.5797786173071</v>
      </c>
      <c r="AB76" s="15">
        <f t="shared" si="31"/>
        <v>7294.5456748455872</v>
      </c>
      <c r="AC76" s="24">
        <v>161.47966904510818</v>
      </c>
      <c r="AD76" s="15">
        <f t="shared" si="32"/>
        <v>421.95491973076435</v>
      </c>
      <c r="AE76" s="24">
        <v>281.58017289740735</v>
      </c>
      <c r="AF76" s="15">
        <f t="shared" si="33"/>
        <v>735.78389128052015</v>
      </c>
      <c r="AG76" s="24">
        <v>30.479287532264166</v>
      </c>
      <c r="AH76" s="15">
        <f t="shared" si="34"/>
        <v>79.643991099181761</v>
      </c>
    </row>
    <row r="77" spans="1:34" x14ac:dyDescent="0.45">
      <c r="A77" s="11" t="s">
        <v>8</v>
      </c>
      <c r="B77" s="10" t="s">
        <v>9</v>
      </c>
      <c r="C77" s="29" t="s">
        <v>64</v>
      </c>
      <c r="D77" s="29" t="s">
        <v>61</v>
      </c>
      <c r="E77" s="29" t="s">
        <v>44</v>
      </c>
      <c r="F77" s="12">
        <v>1.3065264569402053</v>
      </c>
      <c r="G77" s="25">
        <v>0.15078047434853004</v>
      </c>
      <c r="H77" s="19">
        <f t="shared" si="35"/>
        <v>3939.9735785269695</v>
      </c>
      <c r="I77" s="15">
        <v>40.005081299849024</v>
      </c>
      <c r="J77" s="15">
        <f t="shared" si="36"/>
        <v>104.53539426059324</v>
      </c>
      <c r="K77" s="26">
        <v>25703.264735153003</v>
      </c>
      <c r="L77" s="15">
        <f t="shared" si="37"/>
        <v>67163.990812431162</v>
      </c>
      <c r="M77" s="15">
        <v>82.710505587437851</v>
      </c>
      <c r="N77" s="15">
        <f t="shared" si="38"/>
        <v>216.12692763377649</v>
      </c>
      <c r="O77" s="27">
        <v>4.7025933062891232</v>
      </c>
      <c r="P77" s="19">
        <f t="shared" si="39"/>
        <v>122.88125141793309</v>
      </c>
      <c r="Q77" s="27">
        <v>1.2909079664323082</v>
      </c>
      <c r="R77" s="19">
        <f t="shared" si="40"/>
        <v>33.732108232373783</v>
      </c>
      <c r="S77" s="27">
        <v>9.6324634824220023</v>
      </c>
      <c r="T77" s="15">
        <f t="shared" si="41"/>
        <v>25.170136770589462</v>
      </c>
      <c r="U77" s="27">
        <v>2.9567384717338108</v>
      </c>
      <c r="V77" s="15">
        <f t="shared" si="28"/>
        <v>7.7261140791463481</v>
      </c>
      <c r="W77" s="27">
        <v>15.127970125925733</v>
      </c>
      <c r="X77" s="15">
        <f t="shared" si="29"/>
        <v>39.530186418646046</v>
      </c>
      <c r="Y77" s="27">
        <v>8.8499637818333916</v>
      </c>
      <c r="Z77" s="15">
        <f t="shared" si="30"/>
        <v>23.125423647855847</v>
      </c>
      <c r="AA77" s="24">
        <v>2879.7332242152411</v>
      </c>
      <c r="AB77" s="15">
        <f t="shared" si="31"/>
        <v>7524.8952927338669</v>
      </c>
      <c r="AC77" s="24">
        <v>135.59957630591472</v>
      </c>
      <c r="AD77" s="15">
        <f t="shared" si="32"/>
        <v>354.32886798711962</v>
      </c>
      <c r="AE77" s="24">
        <v>304.34571570883088</v>
      </c>
      <c r="AF77" s="15">
        <f t="shared" si="33"/>
        <v>795.27145925997968</v>
      </c>
      <c r="AG77" s="24">
        <v>7.8245977735042649</v>
      </c>
      <c r="AH77" s="15">
        <f t="shared" si="34"/>
        <v>20.446088011997496</v>
      </c>
    </row>
    <row r="78" spans="1:34" x14ac:dyDescent="0.45">
      <c r="A78" s="11" t="s">
        <v>8</v>
      </c>
      <c r="B78" s="10" t="s">
        <v>9</v>
      </c>
      <c r="C78" s="29" t="s">
        <v>64</v>
      </c>
      <c r="D78" s="29" t="s">
        <v>62</v>
      </c>
      <c r="E78" s="29" t="s">
        <v>44</v>
      </c>
      <c r="F78" s="12">
        <v>1.3065264569402053</v>
      </c>
      <c r="G78" s="25">
        <v>0.13325435508622929</v>
      </c>
      <c r="H78" s="19">
        <f t="shared" si="35"/>
        <v>3482.0068084532641</v>
      </c>
      <c r="I78" s="15">
        <v>46.05684245691711</v>
      </c>
      <c r="J78" s="15">
        <f t="shared" si="36"/>
        <v>120.34896638617829</v>
      </c>
      <c r="K78" s="26">
        <v>28105.957312238952</v>
      </c>
      <c r="L78" s="15">
        <f t="shared" si="37"/>
        <v>73442.353652144433</v>
      </c>
      <c r="M78" s="15">
        <v>93.960061671572561</v>
      </c>
      <c r="N78" s="15">
        <f t="shared" si="38"/>
        <v>245.52261293928581</v>
      </c>
      <c r="O78" s="27">
        <v>3.9064818828335151</v>
      </c>
      <c r="P78" s="19">
        <f t="shared" si="39"/>
        <v>102.07843866959151</v>
      </c>
      <c r="Q78" s="27">
        <v>1.274746719661463</v>
      </c>
      <c r="R78" s="19">
        <f t="shared" si="40"/>
        <v>33.309806302708814</v>
      </c>
      <c r="S78" s="27">
        <v>11.165758820681303</v>
      </c>
      <c r="T78" s="15">
        <f t="shared" si="41"/>
        <v>29.176718622067181</v>
      </c>
      <c r="U78" s="27">
        <v>3.2424619305782625</v>
      </c>
      <c r="V78" s="15">
        <f t="shared" si="28"/>
        <v>8.4727245958438306</v>
      </c>
      <c r="W78" s="27">
        <v>21.015584003468422</v>
      </c>
      <c r="X78" s="15">
        <f t="shared" si="29"/>
        <v>54.914833017161719</v>
      </c>
      <c r="Y78" s="27">
        <v>12.808731601538973</v>
      </c>
      <c r="Z78" s="15">
        <f t="shared" si="30"/>
        <v>33.469893434513516</v>
      </c>
      <c r="AA78" s="24">
        <v>2998.3961819994088</v>
      </c>
      <c r="AB78" s="15">
        <f t="shared" si="31"/>
        <v>7834.9678803414545</v>
      </c>
      <c r="AC78" s="24">
        <v>181.41556731424996</v>
      </c>
      <c r="AD78" s="15">
        <f t="shared" si="32"/>
        <v>474.04847679376871</v>
      </c>
      <c r="AE78" s="24">
        <v>360.81540610278597</v>
      </c>
      <c r="AF78" s="15">
        <f t="shared" si="33"/>
        <v>942.82974828982879</v>
      </c>
      <c r="AG78" s="24">
        <v>8.2947228833126498</v>
      </c>
      <c r="AH78" s="15">
        <f t="shared" si="34"/>
        <v>21.674549800070643</v>
      </c>
    </row>
    <row r="79" spans="1:34" x14ac:dyDescent="0.45">
      <c r="A79" s="11" t="s">
        <v>8</v>
      </c>
      <c r="B79" s="10" t="s">
        <v>9</v>
      </c>
      <c r="C79" s="29" t="s">
        <v>64</v>
      </c>
      <c r="D79" s="29" t="s">
        <v>51</v>
      </c>
      <c r="E79" s="29" t="s">
        <v>45</v>
      </c>
      <c r="F79" s="12">
        <v>1.3065264569402053</v>
      </c>
      <c r="G79" s="25">
        <v>0.11815265270931682</v>
      </c>
      <c r="H79" s="19">
        <f t="shared" si="35"/>
        <v>3087.3913344478055</v>
      </c>
      <c r="I79" s="15">
        <v>55.749657286789919</v>
      </c>
      <c r="J79" s="15">
        <f t="shared" si="36"/>
        <v>145.67680442108067</v>
      </c>
      <c r="K79" s="26">
        <v>25880.456544117122</v>
      </c>
      <c r="L79" s="15">
        <f t="shared" si="37"/>
        <v>67627.002385160595</v>
      </c>
      <c r="M79" s="15">
        <v>85.155050564514397</v>
      </c>
      <c r="N79" s="15">
        <f t="shared" si="38"/>
        <v>222.51465300923809</v>
      </c>
      <c r="O79" s="27">
        <v>4.8919739871752324</v>
      </c>
      <c r="P79" s="19">
        <f t="shared" si="39"/>
        <v>127.82986881815413</v>
      </c>
      <c r="Q79" s="27">
        <v>1.1178724624781979</v>
      </c>
      <c r="R79" s="19">
        <f t="shared" si="40"/>
        <v>29.210598954253257</v>
      </c>
      <c r="S79" s="27">
        <v>9.4456177534442833</v>
      </c>
      <c r="T79" s="15">
        <f t="shared" si="41"/>
        <v>24.681898994038129</v>
      </c>
      <c r="U79" s="27">
        <v>2.959450058466031</v>
      </c>
      <c r="V79" s="15">
        <f t="shared" si="28"/>
        <v>7.7331995987582154</v>
      </c>
      <c r="W79" s="27">
        <v>21.68912029149763</v>
      </c>
      <c r="X79" s="15">
        <f t="shared" si="29"/>
        <v>56.674818977200637</v>
      </c>
      <c r="Y79" s="27">
        <v>8.3918652342803899</v>
      </c>
      <c r="Z79" s="15">
        <f t="shared" si="30"/>
        <v>21.92838790332809</v>
      </c>
      <c r="AA79" s="24">
        <v>2602.1352157704405</v>
      </c>
      <c r="AB79" s="15">
        <f t="shared" si="31"/>
        <v>6799.5170078797819</v>
      </c>
      <c r="AC79" s="24">
        <v>160.87389278333481</v>
      </c>
      <c r="AD79" s="15">
        <f t="shared" si="32"/>
        <v>420.37199430477784</v>
      </c>
      <c r="AE79" s="24">
        <v>283.54023603062757</v>
      </c>
      <c r="AF79" s="15">
        <f t="shared" si="33"/>
        <v>740.90563996217088</v>
      </c>
      <c r="AG79" s="24">
        <v>8.8882825762792486</v>
      </c>
      <c r="AH79" s="15">
        <f t="shared" si="34"/>
        <v>23.225552685338979</v>
      </c>
    </row>
    <row r="80" spans="1:34" x14ac:dyDescent="0.45">
      <c r="A80" s="11" t="s">
        <v>8</v>
      </c>
      <c r="B80" s="10" t="s">
        <v>9</v>
      </c>
      <c r="C80" s="29" t="s">
        <v>64</v>
      </c>
      <c r="D80" s="29" t="s">
        <v>52</v>
      </c>
      <c r="E80" s="29" t="s">
        <v>45</v>
      </c>
      <c r="F80" s="12">
        <v>1.3065264569402053</v>
      </c>
      <c r="G80" s="25">
        <v>0.14434298898288606</v>
      </c>
      <c r="H80" s="19">
        <f t="shared" si="35"/>
        <v>3771.7586795993843</v>
      </c>
      <c r="I80" s="15">
        <v>48.247791480894321</v>
      </c>
      <c r="J80" s="15">
        <f t="shared" si="36"/>
        <v>126.07403211744538</v>
      </c>
      <c r="K80" s="26">
        <v>26571.247482231654</v>
      </c>
      <c r="L80" s="15">
        <f t="shared" si="37"/>
        <v>69432.075658882968</v>
      </c>
      <c r="M80" s="15">
        <v>88.404338427725619</v>
      </c>
      <c r="N80" s="15">
        <f t="shared" si="38"/>
        <v>231.00521412823844</v>
      </c>
      <c r="O80" s="27">
        <v>4.0243452906641606</v>
      </c>
      <c r="P80" s="19">
        <f t="shared" si="39"/>
        <v>105.15827188230895</v>
      </c>
      <c r="Q80" s="27">
        <v>1.3620860983786389</v>
      </c>
      <c r="R80" s="19">
        <f t="shared" si="40"/>
        <v>35.592030483243022</v>
      </c>
      <c r="S80" s="27">
        <v>12.486993768298452</v>
      </c>
      <c r="T80" s="15">
        <f t="shared" si="41"/>
        <v>32.629175451858806</v>
      </c>
      <c r="U80" s="27">
        <v>3.4830647995362312</v>
      </c>
      <c r="V80" s="15">
        <f t="shared" si="28"/>
        <v>9.1014326236624381</v>
      </c>
      <c r="W80" s="27">
        <v>43.752182394174419</v>
      </c>
      <c r="X80" s="15">
        <f t="shared" si="29"/>
        <v>114.32676769372469</v>
      </c>
      <c r="Y80" s="27">
        <v>25.135099196653272</v>
      </c>
      <c r="Z80" s="15">
        <f t="shared" si="30"/>
        <v>65.679344196488003</v>
      </c>
      <c r="AA80" s="24">
        <v>2726.6821299266039</v>
      </c>
      <c r="AB80" s="15">
        <f t="shared" si="31"/>
        <v>7124.9646848303573</v>
      </c>
      <c r="AC80" s="24">
        <v>274.15279491458051</v>
      </c>
      <c r="AD80" s="15">
        <f t="shared" si="32"/>
        <v>716.37575960000333</v>
      </c>
      <c r="AE80" s="24">
        <v>354.32021869826656</v>
      </c>
      <c r="AF80" s="15">
        <f t="shared" si="33"/>
        <v>925.85747991624999</v>
      </c>
      <c r="AG80" s="24">
        <v>12.371516016000927</v>
      </c>
      <c r="AH80" s="15">
        <f t="shared" si="34"/>
        <v>32.327425974729394</v>
      </c>
    </row>
    <row r="81" spans="1:34" x14ac:dyDescent="0.45">
      <c r="A81" s="11" t="s">
        <v>8</v>
      </c>
      <c r="B81" s="10" t="s">
        <v>9</v>
      </c>
      <c r="C81" s="29" t="s">
        <v>64</v>
      </c>
      <c r="D81" s="29" t="s">
        <v>53</v>
      </c>
      <c r="E81" s="29" t="s">
        <v>45</v>
      </c>
      <c r="F81" s="12">
        <v>1.3065264569402053</v>
      </c>
      <c r="G81" s="25">
        <v>0.16155145392045206</v>
      </c>
      <c r="H81" s="19">
        <f t="shared" si="35"/>
        <v>4221.4249740845416</v>
      </c>
      <c r="I81" s="15">
        <v>45.554492257785171</v>
      </c>
      <c r="J81" s="15">
        <f t="shared" si="36"/>
        <v>119.03629873454817</v>
      </c>
      <c r="K81" s="26">
        <v>25917.216601803375</v>
      </c>
      <c r="L81" s="15">
        <f t="shared" si="37"/>
        <v>67723.058361012081</v>
      </c>
      <c r="M81" s="15">
        <v>86.722994013726691</v>
      </c>
      <c r="N81" s="15">
        <f t="shared" si="38"/>
        <v>226.61177220800198</v>
      </c>
      <c r="O81" s="27">
        <v>4.5214617866533215</v>
      </c>
      <c r="P81" s="19">
        <f t="shared" si="39"/>
        <v>118.14818896613392</v>
      </c>
      <c r="Q81" s="27">
        <v>1.3136679515276541</v>
      </c>
      <c r="R81" s="19">
        <f t="shared" si="40"/>
        <v>34.32683868610647</v>
      </c>
      <c r="S81" s="27">
        <v>14.505454623782926</v>
      </c>
      <c r="T81" s="15">
        <f t="shared" si="41"/>
        <v>37.90352047183606</v>
      </c>
      <c r="U81" s="27">
        <v>7.9982801558396588</v>
      </c>
      <c r="V81" s="15">
        <f t="shared" si="28"/>
        <v>20.899929267248691</v>
      </c>
      <c r="W81" s="27">
        <v>35.880498584884592</v>
      </c>
      <c r="X81" s="15">
        <f t="shared" si="29"/>
        <v>93.757641378714652</v>
      </c>
      <c r="Y81" s="27">
        <v>20.593384751183763</v>
      </c>
      <c r="Z81" s="15">
        <f t="shared" si="30"/>
        <v>53.811604030741158</v>
      </c>
      <c r="AA81" s="24">
        <v>2718.9871554874703</v>
      </c>
      <c r="AB81" s="15">
        <f t="shared" si="31"/>
        <v>7104.8573094499443</v>
      </c>
      <c r="AC81" s="24">
        <v>243.38499256985222</v>
      </c>
      <c r="AD81" s="15">
        <f t="shared" si="32"/>
        <v>635.97786402941449</v>
      </c>
      <c r="AE81" s="24">
        <v>289.21061878593315</v>
      </c>
      <c r="AF81" s="15">
        <f t="shared" si="33"/>
        <v>755.72265014373932</v>
      </c>
      <c r="AG81" s="24">
        <v>13.034844790351919</v>
      </c>
      <c r="AH81" s="15">
        <f t="shared" si="34"/>
        <v>34.06073916140798</v>
      </c>
    </row>
    <row r="82" spans="1:34" x14ac:dyDescent="0.45">
      <c r="A82" s="11" t="s">
        <v>8</v>
      </c>
      <c r="B82" s="10" t="s">
        <v>9</v>
      </c>
      <c r="C82" s="29" t="s">
        <v>64</v>
      </c>
      <c r="D82" s="29" t="s">
        <v>54</v>
      </c>
      <c r="E82" s="29" t="s">
        <v>45</v>
      </c>
      <c r="F82" s="12">
        <v>1.3065264569402053</v>
      </c>
      <c r="G82" s="25">
        <v>0.12714563672613285</v>
      </c>
      <c r="H82" s="19">
        <f t="shared" si="35"/>
        <v>3322.3827653440162</v>
      </c>
      <c r="I82" s="15">
        <v>59.232471404454948</v>
      </c>
      <c r="J82" s="15">
        <f t="shared" si="36"/>
        <v>154.77758199974912</v>
      </c>
      <c r="K82" s="26">
        <v>26586.788691465266</v>
      </c>
      <c r="L82" s="15">
        <f t="shared" si="37"/>
        <v>69472.685660956064</v>
      </c>
      <c r="M82" s="15">
        <v>88.532197717498278</v>
      </c>
      <c r="N82" s="15">
        <f t="shared" si="38"/>
        <v>231.33931721794553</v>
      </c>
      <c r="O82" s="27">
        <v>4.4774412937778836</v>
      </c>
      <c r="P82" s="19">
        <f t="shared" si="39"/>
        <v>116.99791019434775</v>
      </c>
      <c r="Q82" s="27">
        <v>1.1987657468467101</v>
      </c>
      <c r="R82" s="19">
        <f t="shared" si="40"/>
        <v>31.324383278578228</v>
      </c>
      <c r="S82" s="27">
        <v>11.95225174160988</v>
      </c>
      <c r="T82" s="15">
        <f t="shared" si="41"/>
        <v>31.231866240845914</v>
      </c>
      <c r="U82" s="27">
        <v>3.7037353721175141</v>
      </c>
      <c r="V82" s="15">
        <f t="shared" si="28"/>
        <v>9.6780565063536184</v>
      </c>
      <c r="W82" s="27">
        <v>23.121472006411711</v>
      </c>
      <c r="X82" s="15">
        <f t="shared" si="29"/>
        <v>60.417629799558476</v>
      </c>
      <c r="Y82" s="27">
        <v>12.518430109980303</v>
      </c>
      <c r="Z82" s="15">
        <f t="shared" si="30"/>
        <v>32.711320276092309</v>
      </c>
      <c r="AA82" s="24">
        <v>2468.3210793657977</v>
      </c>
      <c r="AB82" s="15">
        <f t="shared" si="31"/>
        <v>6449.853588829239</v>
      </c>
      <c r="AC82" s="24">
        <v>166.72810309678408</v>
      </c>
      <c r="AD82" s="15">
        <f t="shared" si="32"/>
        <v>435.66935562280526</v>
      </c>
      <c r="AE82" s="24">
        <v>324.14178702614998</v>
      </c>
      <c r="AF82" s="15">
        <f t="shared" si="33"/>
        <v>846.9996410990849</v>
      </c>
      <c r="AG82" s="24">
        <v>11.084158809227544</v>
      </c>
      <c r="AH82" s="15">
        <f t="shared" si="34"/>
        <v>28.963493474365261</v>
      </c>
    </row>
    <row r="83" spans="1:34" x14ac:dyDescent="0.45">
      <c r="A83" s="11" t="s">
        <v>8</v>
      </c>
      <c r="B83" s="10" t="s">
        <v>9</v>
      </c>
      <c r="C83" s="29" t="s">
        <v>64</v>
      </c>
      <c r="D83" s="29" t="s">
        <v>55</v>
      </c>
      <c r="E83" s="29" t="s">
        <v>45</v>
      </c>
      <c r="F83" s="12">
        <v>1.3065264569402053</v>
      </c>
      <c r="G83" s="25">
        <v>0.12781691168298637</v>
      </c>
      <c r="H83" s="19">
        <f t="shared" si="35"/>
        <v>3339.9235351642265</v>
      </c>
      <c r="I83" s="15">
        <v>56.404507133913981</v>
      </c>
      <c r="J83" s="15">
        <f t="shared" si="36"/>
        <v>147.38796172226236</v>
      </c>
      <c r="K83" s="26">
        <v>25386.967308959534</v>
      </c>
      <c r="L83" s="15">
        <f t="shared" si="37"/>
        <v>66337.488901263452</v>
      </c>
      <c r="M83" s="15">
        <v>84.952497609747866</v>
      </c>
      <c r="N83" s="15">
        <f t="shared" si="38"/>
        <v>221.98537142057032</v>
      </c>
      <c r="O83" s="27">
        <v>4.4895873744352688</v>
      </c>
      <c r="P83" s="19">
        <f t="shared" si="39"/>
        <v>117.31529370888782</v>
      </c>
      <c r="Q83" s="27">
        <v>1.2827392498386481</v>
      </c>
      <c r="R83" s="19">
        <f t="shared" si="40"/>
        <v>33.518655345396517</v>
      </c>
      <c r="S83" s="27">
        <v>16.96829762345202</v>
      </c>
      <c r="T83" s="15">
        <f t="shared" si="41"/>
        <v>44.339059548551361</v>
      </c>
      <c r="U83" s="27">
        <v>2.7313085261089571</v>
      </c>
      <c r="V83" s="15">
        <f t="shared" si="28"/>
        <v>7.1370537028554208</v>
      </c>
      <c r="W83" s="27">
        <v>34.674418649301444</v>
      </c>
      <c r="X83" s="15">
        <f t="shared" si="29"/>
        <v>90.606090688666399</v>
      </c>
      <c r="Y83" s="27">
        <v>12.356886528901862</v>
      </c>
      <c r="Z83" s="15">
        <f t="shared" si="30"/>
        <v>32.289198350836607</v>
      </c>
      <c r="AA83" s="24">
        <v>2732.3997946922382</v>
      </c>
      <c r="AB83" s="15">
        <f t="shared" si="31"/>
        <v>7139.9052454067896</v>
      </c>
      <c r="AC83" s="24">
        <v>226.65952602719446</v>
      </c>
      <c r="AD83" s="15">
        <f t="shared" si="32"/>
        <v>592.27333494411334</v>
      </c>
      <c r="AE83" s="24">
        <v>294.84946817944365</v>
      </c>
      <c r="AF83" s="15">
        <f t="shared" si="33"/>
        <v>770.45726198238481</v>
      </c>
      <c r="AG83" s="24">
        <v>15.654874043403685</v>
      </c>
      <c r="AH83" s="15">
        <f t="shared" si="34"/>
        <v>40.907014235546811</v>
      </c>
    </row>
    <row r="84" spans="1:34" x14ac:dyDescent="0.45">
      <c r="A84" s="11" t="s">
        <v>8</v>
      </c>
      <c r="B84" s="10" t="s">
        <v>9</v>
      </c>
      <c r="C84" s="29" t="s">
        <v>64</v>
      </c>
      <c r="D84" s="29" t="s">
        <v>56</v>
      </c>
      <c r="E84" s="29" t="s">
        <v>45</v>
      </c>
      <c r="F84" s="12">
        <v>1.3065264569402053</v>
      </c>
      <c r="G84" s="25">
        <v>0.11687630761837832</v>
      </c>
      <c r="H84" s="19">
        <f t="shared" si="35"/>
        <v>3054.0397618578672</v>
      </c>
      <c r="I84" s="15">
        <v>54.041814689771364</v>
      </c>
      <c r="J84" s="15">
        <f t="shared" si="36"/>
        <v>141.21412134649225</v>
      </c>
      <c r="K84" s="26">
        <v>27273.439189230408</v>
      </c>
      <c r="L84" s="15">
        <f t="shared" si="37"/>
        <v>71266.939744958712</v>
      </c>
      <c r="M84" s="15">
        <v>91.31551491505293</v>
      </c>
      <c r="N84" s="15">
        <f t="shared" si="38"/>
        <v>238.6122723312692</v>
      </c>
      <c r="O84" s="27">
        <v>4.6183023693763499</v>
      </c>
      <c r="P84" s="19">
        <f t="shared" si="39"/>
        <v>120.67868463479677</v>
      </c>
      <c r="Q84" s="27">
        <v>1.1904957218836811</v>
      </c>
      <c r="R84" s="19">
        <f t="shared" si="40"/>
        <v>31.108283150303166</v>
      </c>
      <c r="S84" s="27">
        <v>11.840237363445889</v>
      </c>
      <c r="T84" s="15">
        <f t="shared" si="41"/>
        <v>30.939166743587997</v>
      </c>
      <c r="U84" s="27">
        <v>3.4718925770077904</v>
      </c>
      <c r="V84" s="15">
        <f t="shared" si="28"/>
        <v>9.072239015029977</v>
      </c>
      <c r="W84" s="27">
        <v>19.806030461234503</v>
      </c>
      <c r="X84" s="15">
        <f t="shared" si="29"/>
        <v>51.754205609132995</v>
      </c>
      <c r="Y84" s="27">
        <v>7.2787923324987887</v>
      </c>
      <c r="Z84" s="15">
        <f t="shared" si="30"/>
        <v>19.019869513966352</v>
      </c>
      <c r="AA84" s="24">
        <v>2943.8301652749824</v>
      </c>
      <c r="AB84" s="15">
        <f t="shared" si="31"/>
        <v>7692.3839913408447</v>
      </c>
      <c r="AC84" s="24">
        <v>152.04287635806912</v>
      </c>
      <c r="AD84" s="15">
        <f t="shared" si="32"/>
        <v>397.29608110221159</v>
      </c>
      <c r="AE84" s="24">
        <v>289.0815214965919</v>
      </c>
      <c r="AF84" s="15">
        <f t="shared" si="33"/>
        <v>755.38531209565224</v>
      </c>
      <c r="AG84" s="24">
        <v>8.292338454002584</v>
      </c>
      <c r="AH84" s="15">
        <f t="shared" si="34"/>
        <v>21.668319160114034</v>
      </c>
    </row>
    <row r="85" spans="1:34" x14ac:dyDescent="0.45">
      <c r="A85" s="11" t="s">
        <v>8</v>
      </c>
      <c r="B85" s="10" t="s">
        <v>9</v>
      </c>
      <c r="C85" s="29" t="s">
        <v>64</v>
      </c>
      <c r="D85" s="29" t="s">
        <v>57</v>
      </c>
      <c r="E85" s="29" t="s">
        <v>45</v>
      </c>
      <c r="F85" s="12">
        <v>1.3065264569402053</v>
      </c>
      <c r="G85" s="25">
        <v>0.12509933968271486</v>
      </c>
      <c r="H85" s="19">
        <f t="shared" si="35"/>
        <v>3268.9119408243341</v>
      </c>
      <c r="I85" s="15">
        <v>53.191210997736569</v>
      </c>
      <c r="J85" s="15">
        <f t="shared" si="36"/>
        <v>138.99144889046332</v>
      </c>
      <c r="K85" s="26">
        <v>27410.245667302086</v>
      </c>
      <c r="L85" s="15">
        <f t="shared" si="37"/>
        <v>71624.422311121627</v>
      </c>
      <c r="M85" s="15">
        <v>90.760498765507251</v>
      </c>
      <c r="N85" s="15">
        <f t="shared" si="38"/>
        <v>237.16198576444816</v>
      </c>
      <c r="O85" s="27">
        <v>4.1793053281070236</v>
      </c>
      <c r="P85" s="19">
        <f t="shared" si="39"/>
        <v>109.20745965605985</v>
      </c>
      <c r="Q85" s="27">
        <v>1.2304037583964718</v>
      </c>
      <c r="R85" s="19">
        <f t="shared" si="40"/>
        <v>32.151101261273098</v>
      </c>
      <c r="S85" s="27">
        <v>11.977929129312656</v>
      </c>
      <c r="T85" s="15">
        <f t="shared" si="41"/>
        <v>31.298962613603493</v>
      </c>
      <c r="U85" s="27">
        <v>2.8588916239501829</v>
      </c>
      <c r="V85" s="15">
        <f t="shared" si="28"/>
        <v>7.4704350884313255</v>
      </c>
      <c r="W85" s="27">
        <v>23.783972071529426</v>
      </c>
      <c r="X85" s="15">
        <f t="shared" si="29"/>
        <v>62.148777525160284</v>
      </c>
      <c r="Y85" s="27">
        <v>14.364676510514606</v>
      </c>
      <c r="Z85" s="15">
        <f t="shared" si="30"/>
        <v>37.535659812749685</v>
      </c>
      <c r="AA85" s="24">
        <v>2760.4829095769164</v>
      </c>
      <c r="AB85" s="15">
        <f t="shared" si="31"/>
        <v>7213.287910587037</v>
      </c>
      <c r="AC85" s="24">
        <v>189.4155842613269</v>
      </c>
      <c r="AD85" s="15">
        <f t="shared" si="32"/>
        <v>494.95294438842075</v>
      </c>
      <c r="AE85" s="24">
        <v>322.00649324425569</v>
      </c>
      <c r="AF85" s="15">
        <f t="shared" si="33"/>
        <v>841.42000546031522</v>
      </c>
      <c r="AG85" s="24">
        <v>14.455399851522314</v>
      </c>
      <c r="AH85" s="15">
        <f t="shared" si="34"/>
        <v>37.772724703326844</v>
      </c>
    </row>
    <row r="86" spans="1:34" x14ac:dyDescent="0.45">
      <c r="A86" s="11" t="s">
        <v>8</v>
      </c>
      <c r="B86" s="10" t="s">
        <v>9</v>
      </c>
      <c r="C86" s="29" t="s">
        <v>64</v>
      </c>
      <c r="D86" s="29" t="s">
        <v>59</v>
      </c>
      <c r="E86" s="29" t="s">
        <v>45</v>
      </c>
      <c r="F86" s="12">
        <v>1.3065264569402053</v>
      </c>
      <c r="G86" s="25">
        <v>0.13510865140839801</v>
      </c>
      <c r="H86" s="19">
        <f t="shared" si="35"/>
        <v>3530.4605525316706</v>
      </c>
      <c r="I86" s="15">
        <v>45.753180949063626</v>
      </c>
      <c r="J86" s="15">
        <f t="shared" si="36"/>
        <v>119.55548279824842</v>
      </c>
      <c r="K86" s="26">
        <v>26802.159254185201</v>
      </c>
      <c r="L86" s="15">
        <f t="shared" si="37"/>
        <v>70035.460337435477</v>
      </c>
      <c r="M86" s="15">
        <v>88.077129400958768</v>
      </c>
      <c r="N86" s="15">
        <f t="shared" si="38"/>
        <v>230.15019962739734</v>
      </c>
      <c r="O86" s="27">
        <v>4.1247710905546953</v>
      </c>
      <c r="P86" s="19">
        <f t="shared" si="39"/>
        <v>107.78245117263627</v>
      </c>
      <c r="Q86" s="27">
        <v>1.3338811984380856</v>
      </c>
      <c r="R86" s="19">
        <f t="shared" si="40"/>
        <v>34.855021523489341</v>
      </c>
      <c r="S86" s="27">
        <v>13.179348022306907</v>
      </c>
      <c r="T86" s="15">
        <f t="shared" si="41"/>
        <v>34.438333752733094</v>
      </c>
      <c r="U86" s="27">
        <v>3.7783545568334813</v>
      </c>
      <c r="V86" s="15">
        <f t="shared" si="28"/>
        <v>9.8730403844070587</v>
      </c>
      <c r="W86" s="27">
        <v>24.183421801748146</v>
      </c>
      <c r="X86" s="15">
        <f t="shared" si="29"/>
        <v>63.192560806657056</v>
      </c>
      <c r="Y86" s="27">
        <v>18.647693032433974</v>
      </c>
      <c r="Z86" s="15">
        <f t="shared" si="30"/>
        <v>48.727408615549038</v>
      </c>
      <c r="AA86" s="24">
        <v>2749.8473937031304</v>
      </c>
      <c r="AB86" s="15">
        <f t="shared" si="31"/>
        <v>7185.4967448424186</v>
      </c>
      <c r="AC86" s="24">
        <v>205.21249206739779</v>
      </c>
      <c r="AD86" s="15">
        <f t="shared" si="32"/>
        <v>536.2311003613745</v>
      </c>
      <c r="AE86" s="24">
        <v>341.67879929221732</v>
      </c>
      <c r="AF86" s="15">
        <f t="shared" si="33"/>
        <v>892.82478210168858</v>
      </c>
      <c r="AG86" s="24">
        <v>10.671049587504685</v>
      </c>
      <c r="AH86" s="15">
        <f t="shared" si="34"/>
        <v>27.884017218791474</v>
      </c>
    </row>
    <row r="87" spans="1:34" x14ac:dyDescent="0.45">
      <c r="A87" s="11" t="s">
        <v>8</v>
      </c>
      <c r="B87" s="10" t="s">
        <v>9</v>
      </c>
      <c r="C87" s="29" t="s">
        <v>64</v>
      </c>
      <c r="D87" s="29" t="s">
        <v>60</v>
      </c>
      <c r="E87" s="29" t="s">
        <v>45</v>
      </c>
      <c r="F87" s="12">
        <v>1.3065264569402053</v>
      </c>
      <c r="G87" s="25">
        <v>0.11192046962998074</v>
      </c>
      <c r="H87" s="19">
        <f t="shared" si="35"/>
        <v>2924.5410928948518</v>
      </c>
      <c r="I87" s="15">
        <v>39.32075955222615</v>
      </c>
      <c r="J87" s="15">
        <f t="shared" si="36"/>
        <v>102.74722532393555</v>
      </c>
      <c r="K87" s="26">
        <v>26278.247170038121</v>
      </c>
      <c r="L87" s="15">
        <f t="shared" si="37"/>
        <v>68666.450339337782</v>
      </c>
      <c r="M87" s="15">
        <v>84.05174646298957</v>
      </c>
      <c r="N87" s="15">
        <f t="shared" si="38"/>
        <v>219.63166101185243</v>
      </c>
      <c r="O87" s="27">
        <v>5.0407088299491658</v>
      </c>
      <c r="P87" s="19">
        <f t="shared" si="39"/>
        <v>131.71638896121382</v>
      </c>
      <c r="Q87" s="27">
        <v>1.0184289268672804</v>
      </c>
      <c r="R87" s="19">
        <f t="shared" si="40"/>
        <v>26.612086749306467</v>
      </c>
      <c r="S87" s="27">
        <v>11.644786190525352</v>
      </c>
      <c r="T87" s="15">
        <f t="shared" si="41"/>
        <v>30.428442486666643</v>
      </c>
      <c r="U87" s="27">
        <v>2.216248353013063</v>
      </c>
      <c r="V87" s="15">
        <f t="shared" si="28"/>
        <v>5.7911742167234461</v>
      </c>
      <c r="W87" s="27">
        <v>13.799959380299963</v>
      </c>
      <c r="X87" s="15">
        <f t="shared" si="29"/>
        <v>36.060024070124136</v>
      </c>
      <c r="Y87" s="27">
        <v>8.7932120888777412</v>
      </c>
      <c r="Z87" s="15">
        <f t="shared" si="30"/>
        <v>22.977128471210438</v>
      </c>
      <c r="AA87" s="24">
        <v>2641.7429133284604</v>
      </c>
      <c r="AB87" s="15">
        <f t="shared" si="31"/>
        <v>6903.0140173958598</v>
      </c>
      <c r="AC87" s="24">
        <v>122.41721444162259</v>
      </c>
      <c r="AD87" s="15">
        <f t="shared" si="32"/>
        <v>319.88265890580504</v>
      </c>
      <c r="AE87" s="24">
        <v>292.15536891950262</v>
      </c>
      <c r="AF87" s="15">
        <f t="shared" si="33"/>
        <v>763.4174380609129</v>
      </c>
      <c r="AG87" s="24">
        <v>9.8345257988395947</v>
      </c>
      <c r="AH87" s="15">
        <f t="shared" si="34"/>
        <v>25.698136295289881</v>
      </c>
    </row>
    <row r="88" spans="1:34" x14ac:dyDescent="0.45">
      <c r="A88" s="11" t="s">
        <v>8</v>
      </c>
      <c r="B88" s="10" t="s">
        <v>9</v>
      </c>
      <c r="C88" s="29" t="s">
        <v>64</v>
      </c>
      <c r="D88" s="29" t="s">
        <v>61</v>
      </c>
      <c r="E88" s="29" t="s">
        <v>45</v>
      </c>
      <c r="F88" s="12">
        <v>1.3065264569402053</v>
      </c>
      <c r="G88" s="25">
        <v>0.11750425354775457</v>
      </c>
      <c r="H88" s="19">
        <f t="shared" si="35"/>
        <v>3070.4483212630266</v>
      </c>
      <c r="I88" s="15">
        <v>43.575594925850567</v>
      </c>
      <c r="J88" s="15">
        <f t="shared" si="36"/>
        <v>113.86533529506629</v>
      </c>
      <c r="K88" s="26">
        <v>26125.860045028974</v>
      </c>
      <c r="L88" s="15">
        <f t="shared" si="37"/>
        <v>68268.254718294775</v>
      </c>
      <c r="M88" s="15">
        <v>83.934199622275912</v>
      </c>
      <c r="N88" s="15">
        <f t="shared" si="38"/>
        <v>219.32450489720819</v>
      </c>
      <c r="O88" s="27">
        <v>4.382827488568906</v>
      </c>
      <c r="P88" s="19">
        <f t="shared" si="39"/>
        <v>114.52560140040143</v>
      </c>
      <c r="Q88" s="27">
        <v>1.1238019201458733</v>
      </c>
      <c r="R88" s="19">
        <f t="shared" si="40"/>
        <v>29.365538820615754</v>
      </c>
      <c r="S88" s="27">
        <v>12.449962448674871</v>
      </c>
      <c r="T88" s="15">
        <f t="shared" si="41"/>
        <v>32.532410654211567</v>
      </c>
      <c r="U88" s="27">
        <v>3.8447386135671011</v>
      </c>
      <c r="V88" s="15">
        <f t="shared" si="28"/>
        <v>10.046505437290044</v>
      </c>
      <c r="W88" s="27">
        <v>20.286055053163256</v>
      </c>
      <c r="X88" s="15">
        <f t="shared" si="29"/>
        <v>53.008535267806685</v>
      </c>
      <c r="Y88" s="27">
        <v>12.930463021417779</v>
      </c>
      <c r="Z88" s="15">
        <f t="shared" si="30"/>
        <v>33.787984075938631</v>
      </c>
      <c r="AA88" s="24">
        <v>2795.8822886740918</v>
      </c>
      <c r="AB88" s="15">
        <f t="shared" si="31"/>
        <v>7305.7883612864689</v>
      </c>
      <c r="AC88" s="24">
        <v>165.88298368616512</v>
      </c>
      <c r="AD88" s="15">
        <f t="shared" si="32"/>
        <v>433.46101388431049</v>
      </c>
      <c r="AE88" s="24">
        <v>293.56261355369833</v>
      </c>
      <c r="AF88" s="15">
        <f t="shared" si="33"/>
        <v>767.09464275284051</v>
      </c>
      <c r="AG88" s="24">
        <v>8.2137210710058728</v>
      </c>
      <c r="AH88" s="15">
        <f t="shared" si="34"/>
        <v>21.462887778392826</v>
      </c>
    </row>
    <row r="89" spans="1:34" x14ac:dyDescent="0.45">
      <c r="A89" s="11" t="s">
        <v>8</v>
      </c>
      <c r="B89" s="10" t="s">
        <v>9</v>
      </c>
      <c r="C89" s="29" t="s">
        <v>64</v>
      </c>
      <c r="D89" s="29" t="s">
        <v>62</v>
      </c>
      <c r="E89" s="29" t="s">
        <v>45</v>
      </c>
      <c r="F89" s="12">
        <v>1.3065264569402053</v>
      </c>
      <c r="G89" s="25">
        <v>0.13188265133035346</v>
      </c>
      <c r="H89" s="19">
        <f t="shared" si="35"/>
        <v>3446.1634634905436</v>
      </c>
      <c r="I89" s="15">
        <v>49.737999482651077</v>
      </c>
      <c r="J89" s="15">
        <f t="shared" si="36"/>
        <v>129.96802447872378</v>
      </c>
      <c r="K89" s="26">
        <v>26735.435827388512</v>
      </c>
      <c r="L89" s="15">
        <f t="shared" si="37"/>
        <v>69861.108492620289</v>
      </c>
      <c r="M89" s="15">
        <v>88.983601508515719</v>
      </c>
      <c r="N89" s="15">
        <f t="shared" si="38"/>
        <v>232.51885920940032</v>
      </c>
      <c r="O89" s="27">
        <v>3.9716549250175022</v>
      </c>
      <c r="P89" s="19">
        <f t="shared" si="39"/>
        <v>103.7814447474447</v>
      </c>
      <c r="Q89" s="27">
        <v>1.2762387291187345</v>
      </c>
      <c r="R89" s="19">
        <f t="shared" si="40"/>
        <v>33.348793299307417</v>
      </c>
      <c r="S89" s="27">
        <v>15.633154282633097</v>
      </c>
      <c r="T89" s="15">
        <f t="shared" si="41"/>
        <v>40.850259351376444</v>
      </c>
      <c r="U89" s="27">
        <v>3.313888897340616</v>
      </c>
      <c r="V89" s="15">
        <f t="shared" si="28"/>
        <v>8.6593670394718387</v>
      </c>
      <c r="W89" s="27">
        <v>29.966446553391062</v>
      </c>
      <c r="X89" s="15">
        <f t="shared" si="29"/>
        <v>78.303910484980122</v>
      </c>
      <c r="Y89" s="27">
        <v>20.570359131053333</v>
      </c>
      <c r="Z89" s="15">
        <f t="shared" si="30"/>
        <v>53.751436866965435</v>
      </c>
      <c r="AA89" s="24">
        <v>2739.9863792079909</v>
      </c>
      <c r="AB89" s="15">
        <f t="shared" si="31"/>
        <v>7159.7293921820774</v>
      </c>
      <c r="AC89" s="24">
        <v>222.85091654611747</v>
      </c>
      <c r="AD89" s="15">
        <f t="shared" si="32"/>
        <v>582.32123684175258</v>
      </c>
      <c r="AE89" s="24">
        <v>335.74895796815935</v>
      </c>
      <c r="AF89" s="15">
        <f t="shared" si="33"/>
        <v>877.32979295101052</v>
      </c>
      <c r="AG89" s="24">
        <v>12.762387291187347</v>
      </c>
      <c r="AH89" s="15">
        <f t="shared" si="34"/>
        <v>33.348793299307424</v>
      </c>
    </row>
    <row r="90" spans="1:34" x14ac:dyDescent="0.45">
      <c r="A90" s="11" t="s">
        <v>8</v>
      </c>
      <c r="B90" s="10" t="s">
        <v>9</v>
      </c>
      <c r="C90" s="29" t="s">
        <v>64</v>
      </c>
      <c r="D90" s="29" t="s">
        <v>51</v>
      </c>
      <c r="E90" s="29" t="s">
        <v>46</v>
      </c>
      <c r="F90" s="12">
        <v>1.3065264569402053</v>
      </c>
      <c r="G90" s="25">
        <v>0.12859865364634571</v>
      </c>
      <c r="H90" s="19">
        <f t="shared" si="35"/>
        <v>3360.3508663168136</v>
      </c>
      <c r="I90" s="15">
        <v>45.215401701816013</v>
      </c>
      <c r="J90" s="15">
        <f t="shared" si="36"/>
        <v>118.15023716920362</v>
      </c>
      <c r="K90" s="26">
        <v>26039.226872920823</v>
      </c>
      <c r="L90" s="15">
        <f t="shared" si="37"/>
        <v>68041.877655478864</v>
      </c>
      <c r="M90" s="15">
        <v>87.302059089443844</v>
      </c>
      <c r="N90" s="15">
        <f t="shared" si="38"/>
        <v>228.12489989143106</v>
      </c>
      <c r="O90" s="27">
        <v>4.5559038754749803</v>
      </c>
      <c r="P90" s="19">
        <f t="shared" si="39"/>
        <v>119.04817897168954</v>
      </c>
      <c r="Q90" s="27">
        <v>1.2406702518034547</v>
      </c>
      <c r="R90" s="19">
        <f t="shared" si="40"/>
        <v>32.419370166397606</v>
      </c>
      <c r="S90" s="27">
        <v>13.154939206917257</v>
      </c>
      <c r="T90" s="15">
        <f t="shared" si="41"/>
        <v>34.374552226554805</v>
      </c>
      <c r="U90" s="27">
        <v>2.9738637096422349</v>
      </c>
      <c r="V90" s="15">
        <f t="shared" si="28"/>
        <v>7.7708632319638502</v>
      </c>
      <c r="W90" s="27">
        <v>18.208740255384182</v>
      </c>
      <c r="X90" s="15">
        <f t="shared" si="29"/>
        <v>47.580401782423174</v>
      </c>
      <c r="Y90" s="27">
        <v>11.628696299830267</v>
      </c>
      <c r="Z90" s="15">
        <f t="shared" si="30"/>
        <v>30.386398750901833</v>
      </c>
      <c r="AA90" s="24">
        <v>2813.2158846457587</v>
      </c>
      <c r="AB90" s="15">
        <f t="shared" si="31"/>
        <v>7351.0819647482585</v>
      </c>
      <c r="AC90" s="24">
        <v>141.78529832243134</v>
      </c>
      <c r="AD90" s="15">
        <f t="shared" si="32"/>
        <v>370.49248692683256</v>
      </c>
      <c r="AE90" s="24">
        <v>277.70361878324491</v>
      </c>
      <c r="AF90" s="15">
        <f t="shared" si="33"/>
        <v>725.65425025669299</v>
      </c>
      <c r="AG90" s="24">
        <v>11.733955723235699</v>
      </c>
      <c r="AH90" s="15">
        <f t="shared" si="34"/>
        <v>30.66144719394477</v>
      </c>
    </row>
    <row r="91" spans="1:34" x14ac:dyDescent="0.45">
      <c r="A91" s="11" t="s">
        <v>8</v>
      </c>
      <c r="B91" s="10" t="s">
        <v>9</v>
      </c>
      <c r="C91" s="29" t="s">
        <v>64</v>
      </c>
      <c r="D91" s="29" t="s">
        <v>52</v>
      </c>
      <c r="E91" s="29" t="s">
        <v>46</v>
      </c>
      <c r="F91" s="12">
        <v>1.3065264569402053</v>
      </c>
      <c r="G91" s="25">
        <v>0.13169074527102848</v>
      </c>
      <c r="H91" s="19">
        <f t="shared" si="35"/>
        <v>3441.1488566154389</v>
      </c>
      <c r="I91" s="15">
        <v>43.891505619556462</v>
      </c>
      <c r="J91" s="15">
        <f t="shared" si="36"/>
        <v>114.69082665378045</v>
      </c>
      <c r="K91" s="26">
        <v>25766.665129337827</v>
      </c>
      <c r="L91" s="15">
        <f t="shared" si="37"/>
        <v>67329.659397196985</v>
      </c>
      <c r="M91" s="15">
        <v>84.745875805616819</v>
      </c>
      <c r="N91" s="15">
        <f t="shared" si="38"/>
        <v>221.44545771321447</v>
      </c>
      <c r="O91" s="27">
        <v>4.0142504829293175</v>
      </c>
      <c r="P91" s="19">
        <f t="shared" si="39"/>
        <v>104.894489214643</v>
      </c>
      <c r="Q91" s="27">
        <v>1.3072046444410856</v>
      </c>
      <c r="R91" s="19">
        <f t="shared" si="40"/>
        <v>34.157949051947853</v>
      </c>
      <c r="S91" s="27">
        <v>17.076189367304202</v>
      </c>
      <c r="T91" s="15">
        <f t="shared" si="41"/>
        <v>44.620986384207939</v>
      </c>
      <c r="U91" s="27">
        <v>2.9031887054125272</v>
      </c>
      <c r="V91" s="15">
        <f t="shared" si="28"/>
        <v>7.5861857062229019</v>
      </c>
      <c r="W91" s="27">
        <v>20.790269117378525</v>
      </c>
      <c r="X91" s="15">
        <f t="shared" si="29"/>
        <v>54.326073297523877</v>
      </c>
      <c r="Y91" s="27">
        <v>17.018033792911588</v>
      </c>
      <c r="Z91" s="15">
        <f t="shared" si="30"/>
        <v>44.469022791082928</v>
      </c>
      <c r="AA91" s="24">
        <v>2695.4662697874746</v>
      </c>
      <c r="AB91" s="15">
        <f t="shared" si="31"/>
        <v>7043.3959905345228</v>
      </c>
      <c r="AC91" s="24">
        <v>175.83789508557911</v>
      </c>
      <c r="AD91" s="15">
        <f t="shared" si="32"/>
        <v>459.4737241239705</v>
      </c>
      <c r="AE91" s="24">
        <v>344.17051416140782</v>
      </c>
      <c r="AF91" s="15">
        <f t="shared" si="33"/>
        <v>899.33576490118594</v>
      </c>
      <c r="AG91" s="24">
        <v>8.4809618910178699</v>
      </c>
      <c r="AH91" s="15">
        <f t="shared" si="34"/>
        <v>22.161202181832966</v>
      </c>
    </row>
    <row r="92" spans="1:34" x14ac:dyDescent="0.45">
      <c r="A92" s="11" t="s">
        <v>8</v>
      </c>
      <c r="B92" s="10" t="s">
        <v>9</v>
      </c>
      <c r="C92" s="29" t="s">
        <v>64</v>
      </c>
      <c r="D92" s="29" t="s">
        <v>53</v>
      </c>
      <c r="E92" s="29" t="s">
        <v>46</v>
      </c>
      <c r="F92" s="12">
        <v>1.3065264569402053</v>
      </c>
      <c r="G92" s="25">
        <v>0.13086859294029146</v>
      </c>
      <c r="H92" s="19">
        <f t="shared" si="35"/>
        <v>3419.6655811805795</v>
      </c>
      <c r="I92" s="15">
        <v>47.485287830283518</v>
      </c>
      <c r="J92" s="15">
        <f t="shared" si="36"/>
        <v>124.08156973137237</v>
      </c>
      <c r="K92" s="26">
        <v>25737.824076078043</v>
      </c>
      <c r="L92" s="15">
        <f t="shared" si="37"/>
        <v>67254.296198937125</v>
      </c>
      <c r="M92" s="15">
        <v>84.196602791511125</v>
      </c>
      <c r="N92" s="15">
        <f t="shared" si="38"/>
        <v>220.01017826318972</v>
      </c>
      <c r="O92" s="27">
        <v>4.525467641035676</v>
      </c>
      <c r="P92" s="19">
        <f t="shared" si="39"/>
        <v>118.25286406079782</v>
      </c>
      <c r="Q92" s="27">
        <v>1.3782105997699559</v>
      </c>
      <c r="R92" s="19">
        <f t="shared" si="40"/>
        <v>36.013372236697521</v>
      </c>
      <c r="S92" s="27">
        <v>16.24330847810959</v>
      </c>
      <c r="T92" s="15">
        <f t="shared" si="41"/>
        <v>42.444624549782645</v>
      </c>
      <c r="U92" s="27">
        <v>2.9048348161168982</v>
      </c>
      <c r="V92" s="15">
        <f t="shared" si="28"/>
        <v>7.5904870805955289</v>
      </c>
      <c r="W92" s="27">
        <v>22.219438242578381</v>
      </c>
      <c r="X92" s="15">
        <f t="shared" si="29"/>
        <v>58.06056784455528</v>
      </c>
      <c r="Y92" s="27">
        <v>18.601135226011721</v>
      </c>
      <c r="Z92" s="15">
        <f t="shared" si="30"/>
        <v>48.605750603813483</v>
      </c>
      <c r="AA92" s="24">
        <v>2593.3280475415481</v>
      </c>
      <c r="AB92" s="15">
        <f t="shared" si="31"/>
        <v>6776.5034112762396</v>
      </c>
      <c r="AC92" s="24">
        <v>179.46543752715689</v>
      </c>
      <c r="AD92" s="15">
        <f t="shared" si="32"/>
        <v>468.95268447116018</v>
      </c>
      <c r="AE92" s="24">
        <v>293.86153513218676</v>
      </c>
      <c r="AF92" s="15">
        <f t="shared" si="33"/>
        <v>767.87574065453134</v>
      </c>
      <c r="AG92" s="28">
        <v>182.61395397500178</v>
      </c>
      <c r="AH92" s="15">
        <f t="shared" si="34"/>
        <v>477.17992454960165</v>
      </c>
    </row>
    <row r="93" spans="1:34" x14ac:dyDescent="0.45">
      <c r="A93" s="11" t="s">
        <v>8</v>
      </c>
      <c r="B93" s="10" t="s">
        <v>9</v>
      </c>
      <c r="C93" s="29" t="s">
        <v>64</v>
      </c>
      <c r="D93" s="29" t="s">
        <v>54</v>
      </c>
      <c r="E93" s="29" t="s">
        <v>46</v>
      </c>
      <c r="F93" s="12">
        <v>1.3065264569402053</v>
      </c>
      <c r="G93" s="25">
        <v>0.13147886532847652</v>
      </c>
      <c r="H93" s="19">
        <f t="shared" si="35"/>
        <v>3435.6123216026572</v>
      </c>
      <c r="I93" s="15">
        <v>43.286218881655621</v>
      </c>
      <c r="J93" s="15">
        <f t="shared" si="36"/>
        <v>113.10918037957549</v>
      </c>
      <c r="K93" s="26">
        <v>26726.357905138459</v>
      </c>
      <c r="L93" s="15">
        <f t="shared" si="37"/>
        <v>69837.387401432818</v>
      </c>
      <c r="M93" s="15">
        <v>89.926333657289405</v>
      </c>
      <c r="N93" s="15">
        <f t="shared" si="38"/>
        <v>234.98226819776215</v>
      </c>
      <c r="O93" s="27">
        <v>4.3541450359187355</v>
      </c>
      <c r="P93" s="19">
        <f t="shared" si="39"/>
        <v>113.77611373565378</v>
      </c>
      <c r="Q93" s="27">
        <v>1.2469617239016098</v>
      </c>
      <c r="R93" s="19">
        <f t="shared" si="40"/>
        <v>32.583769661384416</v>
      </c>
      <c r="S93" s="27">
        <v>14.880067529618035</v>
      </c>
      <c r="T93" s="15">
        <f t="shared" si="41"/>
        <v>38.882403817005695</v>
      </c>
      <c r="U93" s="27">
        <v>3.3493054175560104</v>
      </c>
      <c r="V93" s="15">
        <f t="shared" si="28"/>
        <v>8.7519122808201804</v>
      </c>
      <c r="W93" s="27">
        <v>25.466974729831371</v>
      </c>
      <c r="X93" s="15">
        <f t="shared" si="29"/>
        <v>66.546552525504651</v>
      </c>
      <c r="Y93" s="27">
        <v>15.3169455071159</v>
      </c>
      <c r="Z93" s="15">
        <f t="shared" si="30"/>
        <v>40.023989089116668</v>
      </c>
      <c r="AA93" s="24">
        <v>2766.1049800288311</v>
      </c>
      <c r="AB93" s="15">
        <f t="shared" si="31"/>
        <v>7227.978678163453</v>
      </c>
      <c r="AC93" s="24">
        <v>188.87060737913623</v>
      </c>
      <c r="AD93" s="15">
        <f t="shared" si="32"/>
        <v>493.52889095841499</v>
      </c>
      <c r="AE93" s="24">
        <v>332.77202252514473</v>
      </c>
      <c r="AF93" s="15">
        <f t="shared" si="33"/>
        <v>869.55090311720733</v>
      </c>
      <c r="AG93" s="24">
        <v>8.4242286783392508</v>
      </c>
      <c r="AH93" s="15">
        <f t="shared" si="34"/>
        <v>22.012955295129302</v>
      </c>
    </row>
    <row r="94" spans="1:34" x14ac:dyDescent="0.45">
      <c r="A94" s="11" t="s">
        <v>8</v>
      </c>
      <c r="B94" s="10" t="s">
        <v>9</v>
      </c>
      <c r="C94" s="29" t="s">
        <v>64</v>
      </c>
      <c r="D94" s="29" t="s">
        <v>55</v>
      </c>
      <c r="E94" s="29" t="s">
        <v>46</v>
      </c>
      <c r="F94" s="12">
        <v>1.3065264569402053</v>
      </c>
      <c r="G94" s="25">
        <v>0.13241952632998139</v>
      </c>
      <c r="H94" s="19">
        <f t="shared" si="35"/>
        <v>3460.1922913122166</v>
      </c>
      <c r="I94" s="15">
        <v>44.229301741317144</v>
      </c>
      <c r="J94" s="15">
        <f t="shared" si="36"/>
        <v>115.57350579404471</v>
      </c>
      <c r="K94" s="26">
        <v>25465.355548031082</v>
      </c>
      <c r="L94" s="15">
        <f t="shared" si="37"/>
        <v>66542.321517783304</v>
      </c>
      <c r="M94" s="15">
        <v>84.080349370867538</v>
      </c>
      <c r="N94" s="15">
        <f t="shared" si="38"/>
        <v>219.70640192362842</v>
      </c>
      <c r="O94" s="27">
        <v>4.5735778564263825</v>
      </c>
      <c r="P94" s="19">
        <f t="shared" si="39"/>
        <v>119.51000944593881</v>
      </c>
      <c r="Q94" s="27">
        <v>1.2325232085247042</v>
      </c>
      <c r="R94" s="19">
        <f t="shared" si="40"/>
        <v>32.206483614607116</v>
      </c>
      <c r="S94" s="27">
        <v>13.350600780876922</v>
      </c>
      <c r="T94" s="15">
        <f t="shared" si="41"/>
        <v>34.885826272524532</v>
      </c>
      <c r="U94" s="27">
        <v>2.9842507907335065</v>
      </c>
      <c r="V94" s="15">
        <f t="shared" si="28"/>
        <v>7.7980052244761104</v>
      </c>
      <c r="W94" s="27">
        <v>38.383292998659911</v>
      </c>
      <c r="X94" s="15">
        <f t="shared" si="29"/>
        <v>100.29757561447387</v>
      </c>
      <c r="Y94" s="27">
        <v>14.820774129063713</v>
      </c>
      <c r="Z94" s="15">
        <f t="shared" si="30"/>
        <v>38.727467023913348</v>
      </c>
      <c r="AA94" s="24">
        <v>2681.6978265580419</v>
      </c>
      <c r="AB94" s="15">
        <f t="shared" si="31"/>
        <v>7007.4183198342571</v>
      </c>
      <c r="AC94" s="24">
        <v>238.00313069890584</v>
      </c>
      <c r="AD94" s="15">
        <f t="shared" si="32"/>
        <v>621.91477418543627</v>
      </c>
      <c r="AE94" s="24">
        <v>297.74877256159419</v>
      </c>
      <c r="AF94" s="15">
        <f t="shared" si="33"/>
        <v>778.03329774638951</v>
      </c>
      <c r="AG94" s="24">
        <v>11.753241022168192</v>
      </c>
      <c r="AH94" s="15">
        <f t="shared" si="34"/>
        <v>30.711840700515374</v>
      </c>
    </row>
    <row r="95" spans="1:34" x14ac:dyDescent="0.45">
      <c r="A95" s="11" t="s">
        <v>8</v>
      </c>
      <c r="B95" s="10" t="s">
        <v>9</v>
      </c>
      <c r="C95" s="29" t="s">
        <v>64</v>
      </c>
      <c r="D95" s="29" t="s">
        <v>56</v>
      </c>
      <c r="E95" s="29" t="s">
        <v>46</v>
      </c>
      <c r="F95" s="12">
        <v>1.3065264569402053</v>
      </c>
      <c r="G95" s="25">
        <v>0.1324862446553827</v>
      </c>
      <c r="H95" s="19">
        <f t="shared" si="35"/>
        <v>3461.9356764582071</v>
      </c>
      <c r="I95" s="15">
        <v>46.561387985153573</v>
      </c>
      <c r="J95" s="15">
        <f t="shared" si="36"/>
        <v>121.66737054892191</v>
      </c>
      <c r="K95" s="26">
        <v>26620.967478468243</v>
      </c>
      <c r="L95" s="15">
        <f t="shared" si="37"/>
        <v>69561.996639927107</v>
      </c>
      <c r="M95" s="15">
        <v>88.770298397781929</v>
      </c>
      <c r="N95" s="15">
        <f t="shared" si="38"/>
        <v>231.96148689435765</v>
      </c>
      <c r="O95" s="27">
        <v>4.8043578673293146</v>
      </c>
      <c r="P95" s="19">
        <f t="shared" si="39"/>
        <v>125.54041324549142</v>
      </c>
      <c r="Q95" s="27">
        <v>1.2112681911275178</v>
      </c>
      <c r="R95" s="19">
        <f t="shared" si="40"/>
        <v>31.651078763164151</v>
      </c>
      <c r="S95" s="27">
        <v>17.975472196366383</v>
      </c>
      <c r="T95" s="15">
        <f t="shared" si="41"/>
        <v>46.970860001091488</v>
      </c>
      <c r="U95" s="27">
        <v>4.7102620264347816</v>
      </c>
      <c r="V95" s="15">
        <f t="shared" si="28"/>
        <v>12.308163913315656</v>
      </c>
      <c r="W95" s="27">
        <v>27.734833179308456</v>
      </c>
      <c r="X95" s="15">
        <f t="shared" si="29"/>
        <v>72.472586655179072</v>
      </c>
      <c r="Y95" s="27">
        <v>13.26977044006358</v>
      </c>
      <c r="Z95" s="15">
        <f t="shared" si="30"/>
        <v>34.674612314932283</v>
      </c>
      <c r="AA95" s="24">
        <v>2822.5602470559725</v>
      </c>
      <c r="AB95" s="15">
        <f t="shared" si="31"/>
        <v>7375.4992781726214</v>
      </c>
      <c r="AC95" s="24">
        <v>198.48512375618992</v>
      </c>
      <c r="AD95" s="15">
        <f t="shared" si="32"/>
        <v>518.65213099302605</v>
      </c>
      <c r="AE95" s="24">
        <v>268.71832139299556</v>
      </c>
      <c r="AF95" s="15">
        <f t="shared" si="33"/>
        <v>702.17519272901984</v>
      </c>
      <c r="AG95" s="24">
        <v>10.891234995852471</v>
      </c>
      <c r="AH95" s="15">
        <f t="shared" si="34"/>
        <v>28.459373341668606</v>
      </c>
    </row>
    <row r="96" spans="1:34" x14ac:dyDescent="0.45">
      <c r="A96" s="11" t="s">
        <v>8</v>
      </c>
      <c r="B96" s="10" t="s">
        <v>9</v>
      </c>
      <c r="C96" s="29" t="s">
        <v>64</v>
      </c>
      <c r="D96" s="29" t="s">
        <v>57</v>
      </c>
      <c r="E96" s="29" t="s">
        <v>46</v>
      </c>
      <c r="F96" s="12">
        <v>1.3065264569402053</v>
      </c>
      <c r="G96" s="25">
        <v>0.12697927935692713</v>
      </c>
      <c r="H96" s="19">
        <f t="shared" si="35"/>
        <v>3318.0357592605314</v>
      </c>
      <c r="I96" s="15">
        <v>45.097356505475361</v>
      </c>
      <c r="J96" s="15">
        <f t="shared" si="36"/>
        <v>117.84177882493611</v>
      </c>
      <c r="K96" s="26">
        <v>25874.038883949499</v>
      </c>
      <c r="L96" s="15">
        <f t="shared" si="37"/>
        <v>67610.232699559288</v>
      </c>
      <c r="M96" s="15">
        <v>86.641587952943567</v>
      </c>
      <c r="N96" s="15">
        <f t="shared" si="38"/>
        <v>226.3990538636651</v>
      </c>
      <c r="O96" s="27">
        <v>4.2382878288082759</v>
      </c>
      <c r="P96" s="19">
        <f t="shared" si="39"/>
        <v>110.74870360931345</v>
      </c>
      <c r="Q96" s="27">
        <v>1.2704699726643514</v>
      </c>
      <c r="R96" s="19">
        <f t="shared" si="40"/>
        <v>33.198052640681496</v>
      </c>
      <c r="S96" s="27">
        <v>11.770987766669986</v>
      </c>
      <c r="T96" s="15">
        <f t="shared" si="41"/>
        <v>30.758213882947679</v>
      </c>
      <c r="U96" s="27">
        <v>3.3264459023410846</v>
      </c>
      <c r="V96" s="15">
        <f t="shared" si="28"/>
        <v>8.6921791579779235</v>
      </c>
      <c r="W96" s="27">
        <v>25.202719542443035</v>
      </c>
      <c r="X96" s="15">
        <f t="shared" si="29"/>
        <v>65.856039738091553</v>
      </c>
      <c r="Y96" s="27">
        <v>11.906719597497352</v>
      </c>
      <c r="Z96" s="15">
        <f t="shared" si="30"/>
        <v>31.11288833899745</v>
      </c>
      <c r="AA96" s="24">
        <v>3076.2031304867419</v>
      </c>
      <c r="AB96" s="15">
        <f t="shared" si="31"/>
        <v>8038.2815538064233</v>
      </c>
      <c r="AC96" s="24">
        <v>198.74346067751424</v>
      </c>
      <c r="AD96" s="15">
        <f t="shared" si="32"/>
        <v>519.32717903805553</v>
      </c>
      <c r="AE96" s="24">
        <v>334.11944113900944</v>
      </c>
      <c r="AF96" s="15">
        <f t="shared" si="33"/>
        <v>873.07177925238307</v>
      </c>
      <c r="AG96" s="24">
        <v>7.3352658916725062</v>
      </c>
      <c r="AH96" s="15">
        <f t="shared" si="34"/>
        <v>19.167437912322434</v>
      </c>
    </row>
    <row r="97" spans="1:34" x14ac:dyDescent="0.45">
      <c r="A97" s="11" t="s">
        <v>8</v>
      </c>
      <c r="B97" s="10" t="s">
        <v>9</v>
      </c>
      <c r="C97" s="29" t="s">
        <v>64</v>
      </c>
      <c r="D97" s="29" t="s">
        <v>59</v>
      </c>
      <c r="E97" s="29" t="s">
        <v>46</v>
      </c>
      <c r="F97" s="12">
        <v>1.3065264569402053</v>
      </c>
      <c r="G97" s="25">
        <v>0.13867613534559736</v>
      </c>
      <c r="H97" s="19">
        <f t="shared" si="35"/>
        <v>3623.6807955048744</v>
      </c>
      <c r="I97" s="15">
        <v>44.797084182742005</v>
      </c>
      <c r="J97" s="15">
        <f t="shared" si="36"/>
        <v>117.05715135706008</v>
      </c>
      <c r="K97" s="26">
        <v>26694.152903414753</v>
      </c>
      <c r="L97" s="15">
        <f t="shared" si="37"/>
        <v>69753.234027837156</v>
      </c>
      <c r="M97" s="15">
        <v>89.594168365484009</v>
      </c>
      <c r="N97" s="15">
        <f t="shared" si="38"/>
        <v>234.11430271412016</v>
      </c>
      <c r="O97" s="27">
        <v>4.7797956985456604</v>
      </c>
      <c r="P97" s="19">
        <f t="shared" si="39"/>
        <v>124.89859077837791</v>
      </c>
      <c r="Q97" s="27">
        <v>1.2979617629671407</v>
      </c>
      <c r="R97" s="19">
        <f t="shared" si="40"/>
        <v>33.916427668266422</v>
      </c>
      <c r="S97" s="27">
        <v>19.887555402074614</v>
      </c>
      <c r="T97" s="15">
        <f t="shared" si="41"/>
        <v>51.967234593349183</v>
      </c>
      <c r="U97" s="27">
        <v>2.9711590856539871</v>
      </c>
      <c r="V97" s="15">
        <f t="shared" si="28"/>
        <v>7.763795906370409</v>
      </c>
      <c r="W97" s="27">
        <v>35.359640875594579</v>
      </c>
      <c r="X97" s="15">
        <f t="shared" si="29"/>
        <v>92.396612623737312</v>
      </c>
      <c r="Y97" s="27">
        <v>18.054775018894198</v>
      </c>
      <c r="Z97" s="15">
        <f t="shared" si="30"/>
        <v>47.17808247257674</v>
      </c>
      <c r="AA97" s="24">
        <v>2700.1249739380542</v>
      </c>
      <c r="AB97" s="15">
        <f t="shared" si="31"/>
        <v>7055.5694309901019</v>
      </c>
      <c r="AC97" s="24">
        <v>260.50362000943073</v>
      </c>
      <c r="AD97" s="15">
        <f t="shared" si="32"/>
        <v>680.70974334203834</v>
      </c>
      <c r="AE97" s="24">
        <v>334.79172457485771</v>
      </c>
      <c r="AF97" s="15">
        <f t="shared" si="33"/>
        <v>874.82849144338002</v>
      </c>
      <c r="AG97" s="24">
        <v>11.192741087857669</v>
      </c>
      <c r="AH97" s="15">
        <f t="shared" si="34"/>
        <v>29.247224713935488</v>
      </c>
    </row>
    <row r="98" spans="1:34" x14ac:dyDescent="0.45">
      <c r="A98" s="11" t="s">
        <v>8</v>
      </c>
      <c r="B98" s="10" t="s">
        <v>9</v>
      </c>
      <c r="C98" s="29" t="s">
        <v>64</v>
      </c>
      <c r="D98" s="29" t="s">
        <v>60</v>
      </c>
      <c r="E98" s="29" t="s">
        <v>46</v>
      </c>
      <c r="F98" s="12">
        <v>1.3065264569402053</v>
      </c>
      <c r="G98" s="25">
        <v>0.13762121393635449</v>
      </c>
      <c r="H98" s="19">
        <f t="shared" si="35"/>
        <v>3596.1151408815049</v>
      </c>
      <c r="I98" s="15">
        <v>42.022075588865334</v>
      </c>
      <c r="J98" s="15">
        <f t="shared" si="36"/>
        <v>109.80590706478745</v>
      </c>
      <c r="K98" s="26">
        <v>26964.985272480339</v>
      </c>
      <c r="L98" s="15">
        <f t="shared" si="37"/>
        <v>70460.933338997114</v>
      </c>
      <c r="M98" s="15">
        <v>88.669531863156152</v>
      </c>
      <c r="N98" s="15">
        <f t="shared" si="38"/>
        <v>231.69817860743214</v>
      </c>
      <c r="O98" s="27">
        <v>4.2900661729444165</v>
      </c>
      <c r="P98" s="19">
        <f t="shared" si="39"/>
        <v>112.1016991395219</v>
      </c>
      <c r="Q98" s="27">
        <v>1.2696138554775838</v>
      </c>
      <c r="R98" s="19">
        <f t="shared" si="40"/>
        <v>33.175681845586432</v>
      </c>
      <c r="S98" s="27">
        <v>14.885740642572273</v>
      </c>
      <c r="T98" s="15">
        <f t="shared" si="41"/>
        <v>38.897227961341535</v>
      </c>
      <c r="U98" s="27">
        <v>3.270156684348422</v>
      </c>
      <c r="V98" s="15">
        <f t="shared" ref="V98:V111" si="42">F98*0.2*10000*1000*U98/1000000</f>
        <v>8.5450924528821481</v>
      </c>
      <c r="W98" s="27">
        <v>27.013060754842204</v>
      </c>
      <c r="X98" s="15">
        <f t="shared" ref="X98:X111" si="43">F98*0.2*10000*1000*W98/1000000</f>
        <v>70.586557118268999</v>
      </c>
      <c r="Y98" s="27">
        <v>18.818087267418164</v>
      </c>
      <c r="Z98" s="15">
        <f t="shared" ref="Z98:Z111" si="44">F98*0.2*10000*1000*Y98/1000000</f>
        <v>49.172657767782894</v>
      </c>
      <c r="AA98" s="24">
        <v>2852.3810980107305</v>
      </c>
      <c r="AB98" s="15">
        <f t="shared" ref="AB98:AB111" si="45">F98*0.2*10000*1000*AA98/1000000</f>
        <v>7453.4227396543456</v>
      </c>
      <c r="AC98" s="24">
        <v>213.46976724022065</v>
      </c>
      <c r="AD98" s="15">
        <f t="shared" ref="AD98:AD111" si="46">F98*0.2*10000*1000*AC98/1000000</f>
        <v>557.80779731243172</v>
      </c>
      <c r="AE98" s="24">
        <v>331.31280616921117</v>
      </c>
      <c r="AF98" s="15">
        <f t="shared" ref="AF98:AF111" si="47">F98*0.2*10000*1000*AE98/1000000</f>
        <v>865.73789356635314</v>
      </c>
      <c r="AG98" s="24">
        <v>13.32978637065631</v>
      </c>
      <c r="AH98" s="15">
        <f t="shared" ref="AH98:AH111" si="48">F98*0.2*10000*1000*AG98/1000000</f>
        <v>34.831437117246857</v>
      </c>
    </row>
    <row r="99" spans="1:34" x14ac:dyDescent="0.45">
      <c r="A99" s="11" t="s">
        <v>8</v>
      </c>
      <c r="B99" s="10" t="s">
        <v>9</v>
      </c>
      <c r="C99" s="29" t="s">
        <v>64</v>
      </c>
      <c r="D99" s="29" t="s">
        <v>61</v>
      </c>
      <c r="E99" s="29" t="s">
        <v>46</v>
      </c>
      <c r="F99" s="12">
        <v>1.3065264569402053</v>
      </c>
      <c r="G99" s="25">
        <v>0.12631225983725269</v>
      </c>
      <c r="H99" s="19">
        <f t="shared" si="35"/>
        <v>3300.6061862655274</v>
      </c>
      <c r="I99" s="15">
        <v>39.394706208325715</v>
      </c>
      <c r="J99" s="15">
        <f t="shared" si="36"/>
        <v>102.94045184912824</v>
      </c>
      <c r="K99" s="26">
        <v>25862.173541343589</v>
      </c>
      <c r="L99" s="15">
        <f t="shared" si="37"/>
        <v>67579.227931488727</v>
      </c>
      <c r="M99" s="15">
        <v>85.405317276064892</v>
      </c>
      <c r="N99" s="15">
        <f t="shared" si="38"/>
        <v>223.16861316910237</v>
      </c>
      <c r="O99" s="27">
        <v>4.3366213847235073</v>
      </c>
      <c r="P99" s="19">
        <f t="shared" si="39"/>
        <v>113.31821145747863</v>
      </c>
      <c r="Q99" s="27">
        <v>1.4009038202432234</v>
      </c>
      <c r="R99" s="19">
        <f t="shared" si="40"/>
        <v>36.60635809552754</v>
      </c>
      <c r="S99" s="27">
        <v>17.911143142837787</v>
      </c>
      <c r="T99" s="15">
        <f t="shared" si="41"/>
        <v>46.802764780321425</v>
      </c>
      <c r="U99" s="27">
        <v>5.9143611474724826</v>
      </c>
      <c r="V99" s="15">
        <f t="shared" si="42"/>
        <v>15.454538630144061</v>
      </c>
      <c r="W99" s="27">
        <v>39.771363442435984</v>
      </c>
      <c r="X99" s="15">
        <f t="shared" si="43"/>
        <v>103.9246771322542</v>
      </c>
      <c r="Y99" s="27">
        <v>18.839066893785468</v>
      </c>
      <c r="Z99" s="15">
        <f t="shared" si="44"/>
        <v>49.227478641594104</v>
      </c>
      <c r="AA99" s="24">
        <v>2734.8526784895275</v>
      </c>
      <c r="AB99" s="15">
        <f t="shared" si="45"/>
        <v>7146.3147605607073</v>
      </c>
      <c r="AC99" s="24">
        <v>274.00030601815985</v>
      </c>
      <c r="AD99" s="15">
        <f t="shared" si="46"/>
        <v>715.97729804487699</v>
      </c>
      <c r="AE99" s="24">
        <v>303.87251983216976</v>
      </c>
      <c r="AF99" s="15">
        <f t="shared" si="47"/>
        <v>794.03497339563421</v>
      </c>
      <c r="AG99" s="24">
        <v>9.5282061303307461</v>
      </c>
      <c r="AH99" s="15">
        <f t="shared" si="48"/>
        <v>24.897706792913951</v>
      </c>
    </row>
    <row r="100" spans="1:34" x14ac:dyDescent="0.45">
      <c r="A100" s="11" t="s">
        <v>8</v>
      </c>
      <c r="B100" s="10" t="s">
        <v>9</v>
      </c>
      <c r="C100" s="29" t="s">
        <v>64</v>
      </c>
      <c r="D100" s="29" t="s">
        <v>62</v>
      </c>
      <c r="E100" s="29" t="s">
        <v>46</v>
      </c>
      <c r="F100" s="12">
        <v>1.3065264569402053</v>
      </c>
      <c r="G100" s="25">
        <v>0.13743310403889245</v>
      </c>
      <c r="H100" s="19">
        <f t="shared" si="35"/>
        <v>3591.1997297245753</v>
      </c>
      <c r="I100" s="15">
        <v>42.615122557907924</v>
      </c>
      <c r="J100" s="15">
        <f t="shared" si="36"/>
        <v>111.35557017531214</v>
      </c>
      <c r="K100" s="26">
        <v>26746.727975455095</v>
      </c>
      <c r="L100" s="15">
        <f t="shared" si="37"/>
        <v>69890.615473029655</v>
      </c>
      <c r="M100" s="15">
        <v>88.823089172220278</v>
      </c>
      <c r="N100" s="15">
        <f t="shared" si="38"/>
        <v>232.09943198132979</v>
      </c>
      <c r="O100" s="27">
        <v>4.3876769708559094</v>
      </c>
      <c r="P100" s="19">
        <f t="shared" si="39"/>
        <v>114.65232093861009</v>
      </c>
      <c r="Q100" s="27">
        <v>1.2404413866204791</v>
      </c>
      <c r="R100" s="19">
        <f t="shared" si="40"/>
        <v>32.413389798064998</v>
      </c>
      <c r="S100" s="27">
        <v>11.58282452649874</v>
      </c>
      <c r="T100" s="15">
        <f t="shared" si="41"/>
        <v>30.266533379933026</v>
      </c>
      <c r="U100" s="27">
        <v>2.5182819781875234</v>
      </c>
      <c r="V100" s="15">
        <f t="shared" si="42"/>
        <v>6.5804040610754342</v>
      </c>
      <c r="W100" s="27">
        <v>28.271791560875037</v>
      </c>
      <c r="X100" s="15">
        <f t="shared" si="43"/>
        <v>73.875687318764136</v>
      </c>
      <c r="Y100" s="27">
        <v>17.555505301177767</v>
      </c>
      <c r="Z100" s="15">
        <f t="shared" si="44"/>
        <v>45.873464281885575</v>
      </c>
      <c r="AA100" s="24">
        <v>2593.8435980945928</v>
      </c>
      <c r="AB100" s="15">
        <f t="shared" si="45"/>
        <v>6777.8505721511256</v>
      </c>
      <c r="AC100" s="24">
        <v>216.63719834943655</v>
      </c>
      <c r="AD100" s="15">
        <f t="shared" si="46"/>
        <v>566.08446240188368</v>
      </c>
      <c r="AE100" s="24">
        <v>340.42988312054308</v>
      </c>
      <c r="AF100" s="15">
        <f t="shared" si="47"/>
        <v>889.56129806010279</v>
      </c>
      <c r="AG100" s="24">
        <v>10.638433847516971</v>
      </c>
      <c r="AH100" s="15">
        <f t="shared" si="48"/>
        <v>27.798790564378212</v>
      </c>
    </row>
    <row r="101" spans="1:34" x14ac:dyDescent="0.45">
      <c r="A101" s="11" t="s">
        <v>8</v>
      </c>
      <c r="B101" s="10" t="s">
        <v>9</v>
      </c>
      <c r="C101" s="29" t="s">
        <v>64</v>
      </c>
      <c r="D101" s="29" t="s">
        <v>51</v>
      </c>
      <c r="E101" s="29" t="s">
        <v>47</v>
      </c>
      <c r="F101" s="12">
        <v>1.3065264569402053</v>
      </c>
      <c r="G101" s="25">
        <v>0.1196726465447297</v>
      </c>
      <c r="H101" s="19">
        <f t="shared" si="35"/>
        <v>3127.1095776548636</v>
      </c>
      <c r="I101" s="15">
        <v>43.774700584307382</v>
      </c>
      <c r="J101" s="15">
        <f t="shared" si="36"/>
        <v>114.38560891606694</v>
      </c>
      <c r="K101" s="26">
        <v>25470.677552373545</v>
      </c>
      <c r="L101" s="15">
        <f t="shared" si="37"/>
        <v>66556.22819673807</v>
      </c>
      <c r="M101" s="15">
        <v>81.254366792552844</v>
      </c>
      <c r="N101" s="15">
        <f t="shared" si="38"/>
        <v>212.32195991278792</v>
      </c>
      <c r="O101" s="27">
        <v>4.5902151032704719</v>
      </c>
      <c r="P101" s="19">
        <f t="shared" si="39"/>
        <v>119.94474950938779</v>
      </c>
      <c r="Q101" s="27">
        <v>1.1069324032223042</v>
      </c>
      <c r="R101" s="19">
        <f t="shared" si="40"/>
        <v>28.92472941708688</v>
      </c>
      <c r="S101" s="27">
        <v>21.553703928322118</v>
      </c>
      <c r="T101" s="15">
        <f t="shared" si="41"/>
        <v>56.320968854817771</v>
      </c>
      <c r="U101" s="27">
        <v>2.4944163687360756</v>
      </c>
      <c r="V101" s="15">
        <f t="shared" si="42"/>
        <v>6.5180419607567961</v>
      </c>
      <c r="W101" s="27">
        <v>19.401016201280587</v>
      </c>
      <c r="X101" s="15">
        <f t="shared" si="43"/>
        <v>50.695881916997301</v>
      </c>
      <c r="Y101" s="27">
        <v>7.8494927793956668</v>
      </c>
      <c r="Z101" s="15">
        <f t="shared" si="44"/>
        <v>20.511139979683094</v>
      </c>
      <c r="AA101" s="24">
        <v>2680.2140937888494</v>
      </c>
      <c r="AB101" s="15">
        <f t="shared" si="45"/>
        <v>7003.5412475982985</v>
      </c>
      <c r="AC101" s="24">
        <v>148.34765972308267</v>
      </c>
      <c r="AD101" s="15">
        <f t="shared" si="46"/>
        <v>387.64028450674084</v>
      </c>
      <c r="AE101" s="24">
        <v>257.86606623005645</v>
      </c>
      <c r="AF101" s="15">
        <f t="shared" si="47"/>
        <v>673.8176757533281</v>
      </c>
      <c r="AG101" s="24">
        <v>9.6276635538403319</v>
      </c>
      <c r="AH101" s="15">
        <f t="shared" si="48"/>
        <v>25.157594303222712</v>
      </c>
    </row>
    <row r="102" spans="1:34" x14ac:dyDescent="0.45">
      <c r="A102" s="11" t="s">
        <v>8</v>
      </c>
      <c r="B102" s="10" t="s">
        <v>9</v>
      </c>
      <c r="C102" s="29" t="s">
        <v>64</v>
      </c>
      <c r="D102" s="29" t="s">
        <v>52</v>
      </c>
      <c r="E102" s="29" t="s">
        <v>47</v>
      </c>
      <c r="F102" s="12">
        <v>1.3065264569402053</v>
      </c>
      <c r="G102" s="25">
        <v>0.13259466748867924</v>
      </c>
      <c r="H102" s="19">
        <f t="shared" si="35"/>
        <v>3464.7688224629746</v>
      </c>
      <c r="I102" s="15">
        <v>30.070517404900681</v>
      </c>
      <c r="J102" s="15">
        <f t="shared" si="36"/>
        <v>78.575853126767342</v>
      </c>
      <c r="K102" s="26">
        <v>25660.174852181917</v>
      </c>
      <c r="L102" s="15">
        <f t="shared" si="37"/>
        <v>67051.394668174806</v>
      </c>
      <c r="M102" s="15">
        <v>82.994628037525871</v>
      </c>
      <c r="N102" s="15">
        <f t="shared" si="38"/>
        <v>216.86935462987785</v>
      </c>
      <c r="O102" s="27">
        <v>4.2243002709369666</v>
      </c>
      <c r="P102" s="19">
        <f t="shared" si="39"/>
        <v>110.38320132077649</v>
      </c>
      <c r="Q102" s="27">
        <v>1.3978219874633273</v>
      </c>
      <c r="R102" s="19">
        <f t="shared" si="40"/>
        <v>36.525828174271545</v>
      </c>
      <c r="S102" s="27">
        <v>20.987301598955366</v>
      </c>
      <c r="T102" s="15">
        <f t="shared" si="41"/>
        <v>54.840929597637327</v>
      </c>
      <c r="U102" s="27">
        <v>3.0478883862960222</v>
      </c>
      <c r="V102" s="15">
        <f t="shared" si="42"/>
        <v>7.9642936289930848</v>
      </c>
      <c r="W102" s="27">
        <v>17.196712109261263</v>
      </c>
      <c r="X102" s="15">
        <f t="shared" si="43"/>
        <v>44.935918686267698</v>
      </c>
      <c r="Y102" s="27">
        <v>18.238642004896004</v>
      </c>
      <c r="Z102" s="15">
        <f t="shared" si="44"/>
        <v>47.658536636115166</v>
      </c>
      <c r="AA102" s="24">
        <v>2761.7262355249709</v>
      </c>
      <c r="AB102" s="15">
        <f t="shared" si="45"/>
        <v>7216.5367870785039</v>
      </c>
      <c r="AC102" s="24">
        <v>154.17154273492579</v>
      </c>
      <c r="AD102" s="15">
        <f t="shared" si="46"/>
        <v>402.85839898093616</v>
      </c>
      <c r="AE102" s="24">
        <v>348.42768658093229</v>
      </c>
      <c r="AF102" s="15">
        <f t="shared" si="47"/>
        <v>910.45998169691575</v>
      </c>
      <c r="AG102" s="24">
        <v>9.2811268726425329</v>
      </c>
      <c r="AH102" s="15">
        <f t="shared" si="48"/>
        <v>24.252075618652359</v>
      </c>
    </row>
    <row r="103" spans="1:34" x14ac:dyDescent="0.45">
      <c r="A103" s="11" t="s">
        <v>8</v>
      </c>
      <c r="B103" s="10" t="s">
        <v>9</v>
      </c>
      <c r="C103" s="29" t="s">
        <v>64</v>
      </c>
      <c r="D103" s="29" t="s">
        <v>53</v>
      </c>
      <c r="E103" s="29" t="s">
        <v>47</v>
      </c>
      <c r="F103" s="12">
        <v>1.3065264569402053</v>
      </c>
      <c r="G103" s="25">
        <v>0.11946666712576842</v>
      </c>
      <c r="H103" s="19">
        <f t="shared" si="35"/>
        <v>3121.7272264457029</v>
      </c>
      <c r="I103" s="15">
        <v>34.786660409441645</v>
      </c>
      <c r="J103" s="15">
        <f t="shared" si="36"/>
        <v>90.899384347059822</v>
      </c>
      <c r="K103" s="26">
        <v>25549.524594505165</v>
      </c>
      <c r="L103" s="15">
        <f t="shared" si="37"/>
        <v>66762.259689930943</v>
      </c>
      <c r="M103" s="15">
        <v>83.13422233442833</v>
      </c>
      <c r="N103" s="15">
        <f t="shared" si="38"/>
        <v>217.23412191415989</v>
      </c>
      <c r="O103" s="27">
        <v>4.4523151855837506</v>
      </c>
      <c r="P103" s="19">
        <f t="shared" si="39"/>
        <v>116.34135169203623</v>
      </c>
      <c r="Q103" s="27">
        <v>1.1818502552121624</v>
      </c>
      <c r="R103" s="19">
        <f t="shared" si="40"/>
        <v>30.882372531524478</v>
      </c>
      <c r="S103" s="27">
        <v>12.425080657049357</v>
      </c>
      <c r="T103" s="15">
        <f t="shared" si="41"/>
        <v>32.467393216101954</v>
      </c>
      <c r="U103" s="27">
        <v>2.8988825424740816</v>
      </c>
      <c r="V103" s="15">
        <f t="shared" si="42"/>
        <v>7.5749334746089527</v>
      </c>
      <c r="W103" s="27">
        <v>23.66414186582141</v>
      </c>
      <c r="X103" s="15">
        <f t="shared" si="43"/>
        <v>61.835654856964069</v>
      </c>
      <c r="Y103" s="27">
        <v>14.615199484973495</v>
      </c>
      <c r="Z103" s="15">
        <f t="shared" si="44"/>
        <v>38.190289601153474</v>
      </c>
      <c r="AA103" s="24">
        <v>2505.9386740500008</v>
      </c>
      <c r="AB103" s="15">
        <f t="shared" si="45"/>
        <v>6548.1503542319679</v>
      </c>
      <c r="AC103" s="24">
        <v>179.13394694716004</v>
      </c>
      <c r="AD103" s="15">
        <f t="shared" si="46"/>
        <v>468.0864820451755</v>
      </c>
      <c r="AE103" s="24">
        <v>274.99481585401861</v>
      </c>
      <c r="AF103" s="15">
        <f t="shared" si="47"/>
        <v>718.57600486935041</v>
      </c>
      <c r="AG103" s="24">
        <v>5.2384575836980316</v>
      </c>
      <c r="AH103" s="15">
        <f t="shared" si="48"/>
        <v>13.68836685332108</v>
      </c>
    </row>
    <row r="104" spans="1:34" x14ac:dyDescent="0.45">
      <c r="A104" s="11" t="s">
        <v>8</v>
      </c>
      <c r="B104" s="10" t="s">
        <v>9</v>
      </c>
      <c r="C104" s="29" t="s">
        <v>64</v>
      </c>
      <c r="D104" s="29" t="s">
        <v>54</v>
      </c>
      <c r="E104" s="29" t="s">
        <v>47</v>
      </c>
      <c r="F104" s="12">
        <v>1.3065264569402053</v>
      </c>
      <c r="G104" s="25">
        <v>0.11816638525120174</v>
      </c>
      <c r="H104" s="19">
        <f t="shared" si="35"/>
        <v>3087.7501730336789</v>
      </c>
      <c r="I104" s="15">
        <v>40.438715315201357</v>
      </c>
      <c r="J104" s="15">
        <f t="shared" si="36"/>
        <v>105.66850288796732</v>
      </c>
      <c r="K104" s="26">
        <v>25561.262026398883</v>
      </c>
      <c r="L104" s="15">
        <f t="shared" si="37"/>
        <v>66792.930220542301</v>
      </c>
      <c r="M104" s="15">
        <v>84.172437063493192</v>
      </c>
      <c r="N104" s="15">
        <f t="shared" si="38"/>
        <v>219.9470319371764</v>
      </c>
      <c r="O104" s="27">
        <v>4.4943887747354152</v>
      </c>
      <c r="P104" s="19">
        <f t="shared" si="39"/>
        <v>117.44075683933787</v>
      </c>
      <c r="Q104" s="27">
        <v>1.1644552734541758</v>
      </c>
      <c r="R104" s="19">
        <f t="shared" si="40"/>
        <v>30.427832453828447</v>
      </c>
      <c r="S104" s="27">
        <v>17.988328436628301</v>
      </c>
      <c r="T104" s="15">
        <f t="shared" si="41"/>
        <v>47.004454037169438</v>
      </c>
      <c r="U104" s="27">
        <v>2.7440014625796696</v>
      </c>
      <c r="V104" s="15">
        <f t="shared" si="42"/>
        <v>7.1702210174859156</v>
      </c>
      <c r="W104" s="27">
        <v>24.859225146121389</v>
      </c>
      <c r="X104" s="15">
        <f t="shared" si="43"/>
        <v>64.958470704881677</v>
      </c>
      <c r="Y104" s="27">
        <v>8.7012388385890613</v>
      </c>
      <c r="Z104" s="15">
        <f t="shared" si="44"/>
        <v>22.736797501544551</v>
      </c>
      <c r="AA104" s="24">
        <v>2730.8819493546075</v>
      </c>
      <c r="AB104" s="15">
        <f t="shared" si="45"/>
        <v>7135.9390352244736</v>
      </c>
      <c r="AC104" s="24">
        <v>191.27189304243859</v>
      </c>
      <c r="AD104" s="15">
        <f t="shared" si="46"/>
        <v>499.80357745796653</v>
      </c>
      <c r="AE104" s="24">
        <v>295.41993951580827</v>
      </c>
      <c r="AF104" s="15">
        <f t="shared" si="47"/>
        <v>771.94793377015753</v>
      </c>
      <c r="AG104" s="24">
        <v>9.5135234759328107</v>
      </c>
      <c r="AH104" s="15">
        <f t="shared" si="48"/>
        <v>24.859340240055925</v>
      </c>
    </row>
    <row r="105" spans="1:34" x14ac:dyDescent="0.45">
      <c r="A105" s="11" t="s">
        <v>8</v>
      </c>
      <c r="B105" s="10" t="s">
        <v>9</v>
      </c>
      <c r="C105" s="29" t="s">
        <v>64</v>
      </c>
      <c r="D105" s="29" t="s">
        <v>55</v>
      </c>
      <c r="E105" s="29" t="s">
        <v>47</v>
      </c>
      <c r="F105" s="12">
        <v>1.3065264569402053</v>
      </c>
      <c r="G105" s="25">
        <v>0.1336610988701013</v>
      </c>
      <c r="H105" s="19">
        <f t="shared" si="35"/>
        <v>3492.6352387497586</v>
      </c>
      <c r="I105" s="15">
        <v>43.612736164799067</v>
      </c>
      <c r="J105" s="15">
        <f t="shared" si="36"/>
        <v>113.9623873177258</v>
      </c>
      <c r="K105" s="26">
        <v>26187.55619027889</v>
      </c>
      <c r="L105" s="15">
        <f t="shared" si="37"/>
        <v>68429.470010415258</v>
      </c>
      <c r="M105" s="15">
        <v>85.134450732655708</v>
      </c>
      <c r="N105" s="15">
        <f t="shared" si="38"/>
        <v>222.4608245585743</v>
      </c>
      <c r="O105" s="27">
        <v>5.0156638038658867</v>
      </c>
      <c r="P105" s="19">
        <f t="shared" si="39"/>
        <v>131.06194917736261</v>
      </c>
      <c r="Q105" s="27">
        <v>1.2385618780974945</v>
      </c>
      <c r="R105" s="19">
        <f t="shared" si="40"/>
        <v>32.364277245838522</v>
      </c>
      <c r="S105" s="27">
        <v>24.341154001086771</v>
      </c>
      <c r="T105" s="15">
        <f t="shared" si="41"/>
        <v>63.604723389751612</v>
      </c>
      <c r="U105" s="27">
        <v>4.1659210575711443</v>
      </c>
      <c r="V105" s="15">
        <f t="shared" si="42"/>
        <v>10.885772158482043</v>
      </c>
      <c r="W105" s="27">
        <v>24.785227445886015</v>
      </c>
      <c r="X105" s="15">
        <f t="shared" si="43"/>
        <v>64.765110798661183</v>
      </c>
      <c r="Y105" s="27">
        <v>9.7738917119938407</v>
      </c>
      <c r="Z105" s="15">
        <f t="shared" si="44"/>
        <v>25.539696217977106</v>
      </c>
      <c r="AA105" s="24">
        <v>2768.5614412174623</v>
      </c>
      <c r="AB105" s="15">
        <f t="shared" si="45"/>
        <v>7234.3975412302398</v>
      </c>
      <c r="AC105" s="24">
        <v>181.54501253884996</v>
      </c>
      <c r="AD105" s="15">
        <f t="shared" si="46"/>
        <v>474.38672401509768</v>
      </c>
      <c r="AE105" s="24">
        <v>288.7338231335965</v>
      </c>
      <c r="AF105" s="15">
        <f t="shared" si="47"/>
        <v>754.47675787507558</v>
      </c>
      <c r="AG105" s="24">
        <v>6.6824015253661804</v>
      </c>
      <c r="AH105" s="15">
        <f t="shared" si="48"/>
        <v>17.461468777577</v>
      </c>
    </row>
    <row r="106" spans="1:34" x14ac:dyDescent="0.45">
      <c r="A106" s="11" t="s">
        <v>8</v>
      </c>
      <c r="B106" s="10" t="s">
        <v>9</v>
      </c>
      <c r="C106" s="29" t="s">
        <v>64</v>
      </c>
      <c r="D106" s="29" t="s">
        <v>56</v>
      </c>
      <c r="E106" s="29" t="s">
        <v>47</v>
      </c>
      <c r="F106" s="12">
        <v>1.3065264569402053</v>
      </c>
      <c r="G106" s="25">
        <v>0.13951274413499648</v>
      </c>
      <c r="H106" s="19">
        <f t="shared" si="35"/>
        <v>3645.5418258540476</v>
      </c>
      <c r="I106" s="15">
        <v>44.210905162491656</v>
      </c>
      <c r="J106" s="15">
        <f t="shared" si="36"/>
        <v>115.52543456013933</v>
      </c>
      <c r="K106" s="26">
        <v>25859.208679947955</v>
      </c>
      <c r="L106" s="15">
        <f t="shared" si="37"/>
        <v>67571.480591779618</v>
      </c>
      <c r="M106" s="15">
        <v>86.753474281115729</v>
      </c>
      <c r="N106" s="15">
        <f t="shared" si="38"/>
        <v>226.69141875951874</v>
      </c>
      <c r="O106" s="27">
        <v>4.8973188936778902</v>
      </c>
      <c r="P106" s="19">
        <f t="shared" si="39"/>
        <v>127.96953405326602</v>
      </c>
      <c r="Q106" s="27">
        <v>1.4446066192648168</v>
      </c>
      <c r="R106" s="19">
        <f t="shared" si="40"/>
        <v>37.748335358808589</v>
      </c>
      <c r="S106" s="27">
        <v>26.866722352207837</v>
      </c>
      <c r="T106" s="15">
        <f t="shared" si="41"/>
        <v>70.20416712885266</v>
      </c>
      <c r="U106" s="27">
        <v>4.9586740210886253</v>
      </c>
      <c r="V106" s="15">
        <f t="shared" si="42"/>
        <v>12.957277599788727</v>
      </c>
      <c r="W106" s="27">
        <v>55.023358715935224</v>
      </c>
      <c r="X106" s="15">
        <f t="shared" si="43"/>
        <v>143.77894782416166</v>
      </c>
      <c r="Y106" s="27">
        <v>10.853322656599602</v>
      </c>
      <c r="Z106" s="15">
        <f t="shared" si="44"/>
        <v>28.360306393111873</v>
      </c>
      <c r="AA106" s="24">
        <v>2874.2635804328224</v>
      </c>
      <c r="AB106" s="15">
        <f t="shared" si="45"/>
        <v>7510.6028241103295</v>
      </c>
      <c r="AC106" s="24">
        <v>305.15437406010756</v>
      </c>
      <c r="AD106" s="15">
        <f t="shared" si="46"/>
        <v>797.38452632111694</v>
      </c>
      <c r="AE106" s="24">
        <v>308.0606061940133</v>
      </c>
      <c r="AF106" s="15">
        <f t="shared" si="47"/>
        <v>804.97866466703226</v>
      </c>
      <c r="AG106" s="24">
        <v>11.431179726696094</v>
      </c>
      <c r="AH106" s="15">
        <f t="shared" si="48"/>
        <v>29.870277493933909</v>
      </c>
    </row>
    <row r="107" spans="1:34" x14ac:dyDescent="0.45">
      <c r="A107" s="11" t="s">
        <v>8</v>
      </c>
      <c r="B107" s="10" t="s">
        <v>9</v>
      </c>
      <c r="C107" s="29" t="s">
        <v>64</v>
      </c>
      <c r="D107" s="29" t="s">
        <v>57</v>
      </c>
      <c r="E107" s="29" t="s">
        <v>47</v>
      </c>
      <c r="F107" s="12">
        <v>1.3065264569402053</v>
      </c>
      <c r="G107" s="25">
        <v>0.13810071176186042</v>
      </c>
      <c r="H107" s="19">
        <f t="shared" si="35"/>
        <v>3608.6446727828811</v>
      </c>
      <c r="I107" s="15">
        <v>44.758699039054875</v>
      </c>
      <c r="J107" s="15">
        <f t="shared" si="36"/>
        <v>116.95684894549869</v>
      </c>
      <c r="K107" s="26">
        <v>26581.585455508572</v>
      </c>
      <c r="L107" s="15">
        <f t="shared" si="37"/>
        <v>69459.089330077826</v>
      </c>
      <c r="M107" s="15">
        <v>87.26969048444542</v>
      </c>
      <c r="N107" s="15">
        <f t="shared" si="38"/>
        <v>228.04031901382169</v>
      </c>
      <c r="O107" s="27">
        <v>4.3753680565435564</v>
      </c>
      <c r="P107" s="19">
        <f t="shared" si="39"/>
        <v>114.3306824945041</v>
      </c>
      <c r="Q107" s="27">
        <v>1.3431362406133711</v>
      </c>
      <c r="R107" s="19">
        <f t="shared" si="40"/>
        <v>35.096860672731502</v>
      </c>
      <c r="S107" s="27">
        <v>12.985720141093946</v>
      </c>
      <c r="T107" s="15">
        <f t="shared" si="41"/>
        <v>33.932373853521078</v>
      </c>
      <c r="U107" s="27">
        <v>3.2900443632880791</v>
      </c>
      <c r="V107" s="15">
        <f t="shared" si="42"/>
        <v>8.5970600102857375</v>
      </c>
      <c r="W107" s="27">
        <v>31.184340245857069</v>
      </c>
      <c r="X107" s="15">
        <f t="shared" si="43"/>
        <v>81.486331146874988</v>
      </c>
      <c r="Y107" s="27">
        <v>12.875852631633592</v>
      </c>
      <c r="Z107" s="15">
        <f t="shared" si="44"/>
        <v>33.645284237784914</v>
      </c>
      <c r="AA107" s="24">
        <v>2965.3657260295199</v>
      </c>
      <c r="AB107" s="15">
        <f t="shared" si="45"/>
        <v>7748.6575511225374</v>
      </c>
      <c r="AC107" s="24">
        <v>232.57770400231533</v>
      </c>
      <c r="AD107" s="15">
        <f t="shared" si="46"/>
        <v>607.73784714686587</v>
      </c>
      <c r="AE107" s="24">
        <v>317.71775636030577</v>
      </c>
      <c r="AF107" s="15">
        <f t="shared" si="47"/>
        <v>830.21330904884348</v>
      </c>
      <c r="AG107" s="24">
        <v>11.317397203684093</v>
      </c>
      <c r="AH107" s="15">
        <f t="shared" si="48"/>
        <v>29.572957740628738</v>
      </c>
    </row>
    <row r="108" spans="1:34" x14ac:dyDescent="0.45">
      <c r="A108" s="11" t="s">
        <v>8</v>
      </c>
      <c r="B108" s="10" t="s">
        <v>9</v>
      </c>
      <c r="C108" s="29" t="s">
        <v>64</v>
      </c>
      <c r="D108" s="29" t="s">
        <v>59</v>
      </c>
      <c r="E108" s="29" t="s">
        <v>47</v>
      </c>
      <c r="F108" s="12">
        <v>1.3065264569402053</v>
      </c>
      <c r="G108" s="25">
        <v>0.13103290201820464</v>
      </c>
      <c r="H108" s="19">
        <f t="shared" si="35"/>
        <v>3423.9590643287602</v>
      </c>
      <c r="I108" s="15">
        <v>45.289673883352151</v>
      </c>
      <c r="J108" s="15">
        <f t="shared" si="36"/>
        <v>118.34431430958689</v>
      </c>
      <c r="K108" s="26">
        <v>28356.145373868712</v>
      </c>
      <c r="L108" s="15">
        <f t="shared" si="37"/>
        <v>74096.108295604165</v>
      </c>
      <c r="M108" s="15">
        <v>91.781728489271174</v>
      </c>
      <c r="N108" s="15">
        <f t="shared" si="38"/>
        <v>239.83051306987076</v>
      </c>
      <c r="O108" s="27">
        <v>4.1143865151941581</v>
      </c>
      <c r="P108" s="19">
        <f t="shared" si="39"/>
        <v>107.51109672358365</v>
      </c>
      <c r="Q108" s="27">
        <v>1.2620188064061879</v>
      </c>
      <c r="R108" s="19">
        <f t="shared" si="40"/>
        <v>32.977219194515676</v>
      </c>
      <c r="S108" s="27">
        <v>16.431110230095317</v>
      </c>
      <c r="T108" s="15">
        <f t="shared" si="41"/>
        <v>42.935360465040802</v>
      </c>
      <c r="U108" s="27">
        <v>2.241718076897079</v>
      </c>
      <c r="V108" s="15">
        <f t="shared" si="42"/>
        <v>5.8577279529343036</v>
      </c>
      <c r="W108" s="27">
        <v>29.404963058880096</v>
      </c>
      <c r="X108" s="15">
        <f t="shared" si="43"/>
        <v>76.836724403552466</v>
      </c>
      <c r="Y108" s="27">
        <v>11.171072090311386</v>
      </c>
      <c r="Z108" s="15">
        <f t="shared" si="44"/>
        <v>29.1906024767563</v>
      </c>
      <c r="AA108" s="24">
        <v>2981.4109075668389</v>
      </c>
      <c r="AB108" s="15">
        <f t="shared" si="45"/>
        <v>7790.5844594923692</v>
      </c>
      <c r="AC108" s="24">
        <v>236.77651152086079</v>
      </c>
      <c r="AD108" s="15">
        <f t="shared" si="46"/>
        <v>618.70955336802399</v>
      </c>
      <c r="AE108" s="24">
        <v>356.15133607929477</v>
      </c>
      <c r="AF108" s="15">
        <f t="shared" si="47"/>
        <v>930.64228652440272</v>
      </c>
      <c r="AG108" s="24">
        <v>5.6037107726603717</v>
      </c>
      <c r="AH108" s="15">
        <f t="shared" si="48"/>
        <v>14.642792763043234</v>
      </c>
    </row>
    <row r="109" spans="1:34" x14ac:dyDescent="0.45">
      <c r="A109" s="11" t="s">
        <v>8</v>
      </c>
      <c r="B109" s="10" t="s">
        <v>9</v>
      </c>
      <c r="C109" s="29" t="s">
        <v>64</v>
      </c>
      <c r="D109" s="29" t="s">
        <v>60</v>
      </c>
      <c r="E109" s="29" t="s">
        <v>47</v>
      </c>
      <c r="F109" s="12">
        <v>1.3065264569402053</v>
      </c>
      <c r="G109" s="25">
        <v>0.13550533330676748</v>
      </c>
      <c r="H109" s="19">
        <f t="shared" si="35"/>
        <v>3540.8260604358502</v>
      </c>
      <c r="I109" s="15">
        <v>43.633566058000675</v>
      </c>
      <c r="J109" s="15">
        <f t="shared" si="36"/>
        <v>114.01681693085207</v>
      </c>
      <c r="K109" s="26">
        <v>27108.513380715318</v>
      </c>
      <c r="L109" s="15">
        <f t="shared" si="37"/>
        <v>70835.979880444269</v>
      </c>
      <c r="M109" s="15">
        <v>88.102668487324763</v>
      </c>
      <c r="N109" s="15">
        <f t="shared" si="38"/>
        <v>230.21693461144386</v>
      </c>
      <c r="O109" s="27">
        <v>4.1534475883537239</v>
      </c>
      <c r="P109" s="19">
        <f t="shared" si="39"/>
        <v>108.53178323397263</v>
      </c>
      <c r="Q109" s="27">
        <v>1.264539736058188</v>
      </c>
      <c r="R109" s="19">
        <f t="shared" si="40"/>
        <v>33.043092420244136</v>
      </c>
      <c r="S109" s="27">
        <v>16.497682449526128</v>
      </c>
      <c r="T109" s="15">
        <f t="shared" si="41"/>
        <v>43.109317197007968</v>
      </c>
      <c r="U109" s="27">
        <v>2.72205828174617</v>
      </c>
      <c r="V109" s="15">
        <f t="shared" si="42"/>
        <v>7.1128823248691342</v>
      </c>
      <c r="W109" s="27">
        <v>28.803409299810401</v>
      </c>
      <c r="X109" s="15">
        <f t="shared" si="43"/>
        <v>75.2648326005597</v>
      </c>
      <c r="Y109" s="27">
        <v>14.951157154924338</v>
      </c>
      <c r="Z109" s="15">
        <f t="shared" si="44"/>
        <v>39.068164769558997</v>
      </c>
      <c r="AA109" s="24">
        <v>2863.7989488434732</v>
      </c>
      <c r="AB109" s="15">
        <f t="shared" si="45"/>
        <v>7483.2581880430953</v>
      </c>
      <c r="AC109" s="24">
        <v>237.24948143680828</v>
      </c>
      <c r="AD109" s="15">
        <f t="shared" si="46"/>
        <v>619.94544878506838</v>
      </c>
      <c r="AE109" s="24">
        <v>327.20657648159806</v>
      </c>
      <c r="AF109" s="15">
        <f t="shared" si="47"/>
        <v>855.00809811607337</v>
      </c>
      <c r="AG109" s="24">
        <v>5.6742167643636643</v>
      </c>
      <c r="AH109" s="15">
        <f t="shared" si="48"/>
        <v>14.827028650109551</v>
      </c>
    </row>
    <row r="110" spans="1:34" x14ac:dyDescent="0.45">
      <c r="A110" s="11" t="s">
        <v>8</v>
      </c>
      <c r="B110" s="10" t="s">
        <v>9</v>
      </c>
      <c r="C110" s="29" t="s">
        <v>64</v>
      </c>
      <c r="D110" s="29" t="s">
        <v>61</v>
      </c>
      <c r="E110" s="29" t="s">
        <v>47</v>
      </c>
      <c r="F110" s="12">
        <v>1.3065264569402053</v>
      </c>
      <c r="G110" s="25">
        <v>0.13353383623239623</v>
      </c>
      <c r="H110" s="19">
        <f t="shared" si="35"/>
        <v>3489.3097986869257</v>
      </c>
      <c r="I110" s="15">
        <v>34.806086177419324</v>
      </c>
      <c r="J110" s="15">
        <f t="shared" si="36"/>
        <v>90.950144906678261</v>
      </c>
      <c r="K110" s="26">
        <v>27658.407765984997</v>
      </c>
      <c r="L110" s="15">
        <f t="shared" si="37"/>
        <v>72272.883006199685</v>
      </c>
      <c r="M110" s="15">
        <v>90.433670335973403</v>
      </c>
      <c r="N110" s="15">
        <f t="shared" si="38"/>
        <v>236.3079657843158</v>
      </c>
      <c r="O110" s="27">
        <v>4.4504221989320927</v>
      </c>
      <c r="P110" s="19">
        <f t="shared" si="39"/>
        <v>116.29188694917569</v>
      </c>
      <c r="Q110" s="27">
        <v>1.2494224734820956</v>
      </c>
      <c r="R110" s="19">
        <f t="shared" si="40"/>
        <v>32.648070350000602</v>
      </c>
      <c r="S110" s="27">
        <v>11.739983626360782</v>
      </c>
      <c r="T110" s="15">
        <f t="shared" si="41"/>
        <v>30.677198423770356</v>
      </c>
      <c r="U110" s="27">
        <v>2.509979954561842</v>
      </c>
      <c r="V110" s="15">
        <f t="shared" si="42"/>
        <v>6.5587104340492433</v>
      </c>
      <c r="W110" s="27">
        <v>22.105267476276303</v>
      </c>
      <c r="X110" s="15">
        <f t="shared" si="43"/>
        <v>57.762233590989673</v>
      </c>
      <c r="Y110" s="27">
        <v>19.430539802689161</v>
      </c>
      <c r="Z110" s="15">
        <f t="shared" si="44"/>
        <v>50.773028649686218</v>
      </c>
      <c r="AA110" s="24">
        <v>2448.8356533407787</v>
      </c>
      <c r="AB110" s="15">
        <f t="shared" si="45"/>
        <v>6398.9371395763619</v>
      </c>
      <c r="AC110" s="24">
        <v>170.07209167476262</v>
      </c>
      <c r="AD110" s="15">
        <f t="shared" si="46"/>
        <v>444.40737472047482</v>
      </c>
      <c r="AE110" s="24">
        <v>325.9715090432951</v>
      </c>
      <c r="AF110" s="15">
        <f t="shared" si="47"/>
        <v>851.78080154757697</v>
      </c>
      <c r="AG110" s="24">
        <v>13.160340427213777</v>
      </c>
      <c r="AH110" s="15">
        <f t="shared" si="48"/>
        <v>34.388665900989132</v>
      </c>
    </row>
    <row r="111" spans="1:34" x14ac:dyDescent="0.45">
      <c r="A111" s="11" t="s">
        <v>8</v>
      </c>
      <c r="B111" s="10" t="s">
        <v>10</v>
      </c>
      <c r="C111" s="29" t="s">
        <v>64</v>
      </c>
      <c r="D111" s="29" t="s">
        <v>62</v>
      </c>
      <c r="E111" s="29" t="s">
        <v>47</v>
      </c>
      <c r="F111" s="12">
        <v>1.3065264569402053</v>
      </c>
      <c r="G111" s="25">
        <v>0.12668098089991248</v>
      </c>
      <c r="H111" s="19">
        <f t="shared" si="35"/>
        <v>3310.2410627374493</v>
      </c>
      <c r="I111" s="15">
        <v>35.808241938528987</v>
      </c>
      <c r="J111" s="15">
        <f t="shared" si="36"/>
        <v>93.568830938407913</v>
      </c>
      <c r="K111" s="26">
        <v>25845.06718428263</v>
      </c>
      <c r="L111" s="15">
        <f t="shared" si="37"/>
        <v>67534.52811532472</v>
      </c>
      <c r="M111" s="15">
        <v>86.018696888146778</v>
      </c>
      <c r="N111" s="15">
        <f t="shared" si="38"/>
        <v>224.7714065517678</v>
      </c>
      <c r="O111" s="27">
        <v>4.3825381779093471</v>
      </c>
      <c r="P111" s="19">
        <f t="shared" si="39"/>
        <v>114.51804155978165</v>
      </c>
      <c r="Q111" s="27">
        <v>1.2361005117180208</v>
      </c>
      <c r="R111" s="19">
        <f t="shared" si="40"/>
        <v>32.299960439938417</v>
      </c>
      <c r="S111" s="27">
        <v>13.885706675717932</v>
      </c>
      <c r="T111" s="15">
        <f t="shared" si="41"/>
        <v>36.284086290273422</v>
      </c>
      <c r="U111" s="27">
        <v>2.6804918727366731</v>
      </c>
      <c r="V111" s="15">
        <f t="shared" si="42"/>
        <v>7.0042670986873237</v>
      </c>
      <c r="W111" s="27">
        <v>22.979837259337387</v>
      </c>
      <c r="X111" s="15">
        <f t="shared" si="43"/>
        <v>60.047530711009195</v>
      </c>
      <c r="Y111" s="27">
        <v>13.64702979002795</v>
      </c>
      <c r="Z111" s="15">
        <f t="shared" si="44"/>
        <v>35.660410958645315</v>
      </c>
      <c r="AA111" s="24">
        <v>2804.2114914594767</v>
      </c>
      <c r="AB111" s="15">
        <f t="shared" si="45"/>
        <v>7327.5530088951191</v>
      </c>
      <c r="AC111" s="24">
        <v>190.01214477648915</v>
      </c>
      <c r="AD111" s="15">
        <f t="shared" si="46"/>
        <v>496.5117885808715</v>
      </c>
      <c r="AE111" s="24">
        <v>299.32020655651246</v>
      </c>
      <c r="AF111" s="15">
        <f t="shared" si="47"/>
        <v>782.13953792578138</v>
      </c>
      <c r="AG111" s="24">
        <v>8.6935664088597981</v>
      </c>
      <c r="AH111" s="15">
        <f t="shared" si="48"/>
        <v>22.716749036683957</v>
      </c>
    </row>
    <row r="112" spans="1:34" x14ac:dyDescent="0.45">
      <c r="F112"/>
    </row>
    <row r="113" spans="6:6" x14ac:dyDescent="0.45">
      <c r="F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35B3-7992-43BA-9430-413892C018F4}">
  <dimension ref="A1:AI295"/>
  <sheetViews>
    <sheetView topLeftCell="B1" workbookViewId="0">
      <selection activeCell="F24" sqref="F24"/>
    </sheetView>
  </sheetViews>
  <sheetFormatPr defaultRowHeight="14.25" x14ac:dyDescent="0.45"/>
  <cols>
    <col min="5" max="6" width="12.265625" bestFit="1" customWidth="1"/>
    <col min="7" max="7" width="16.86328125" bestFit="1" customWidth="1"/>
    <col min="8" max="8" width="11.1328125" bestFit="1" customWidth="1"/>
    <col min="9" max="9" width="11.86328125" bestFit="1" customWidth="1"/>
    <col min="10" max="10" width="10.86328125" bestFit="1" customWidth="1"/>
    <col min="11" max="11" width="11.1328125" bestFit="1" customWidth="1"/>
    <col min="12" max="12" width="10.59765625" bestFit="1" customWidth="1"/>
    <col min="13" max="14" width="10.86328125" bestFit="1" customWidth="1"/>
    <col min="15" max="15" width="11.1328125" bestFit="1" customWidth="1"/>
    <col min="16" max="16" width="11.265625" bestFit="1" customWidth="1"/>
    <col min="17" max="17" width="12.59765625" bestFit="1" customWidth="1"/>
    <col min="18" max="18" width="11.59765625" bestFit="1" customWidth="1"/>
    <col min="19" max="19" width="12.86328125" bestFit="1" customWidth="1"/>
    <col min="20" max="20" width="16.59765625" bestFit="1" customWidth="1"/>
    <col min="21" max="21" width="16.1328125" bestFit="1" customWidth="1"/>
    <col min="22" max="22" width="16.59765625" bestFit="1" customWidth="1"/>
    <col min="23" max="23" width="16.265625" bestFit="1" customWidth="1"/>
    <col min="24" max="25" width="18.265625" bestFit="1" customWidth="1"/>
    <col min="26" max="26" width="16.86328125" bestFit="1" customWidth="1"/>
    <col min="27" max="27" width="16.265625" bestFit="1" customWidth="1"/>
    <col min="28" max="28" width="9.86328125" bestFit="1" customWidth="1"/>
    <col min="29" max="29" width="10.3984375" bestFit="1" customWidth="1"/>
    <col min="30" max="30" width="9.1328125" bestFit="1" customWidth="1"/>
    <col min="31" max="31" width="9.73046875" bestFit="1" customWidth="1"/>
    <col min="32" max="32" width="10.1328125" bestFit="1" customWidth="1"/>
    <col min="33" max="33" width="10.86328125" bestFit="1" customWidth="1"/>
    <col min="34" max="34" width="11.3984375" bestFit="1" customWidth="1"/>
    <col min="35" max="35" width="10.59765625" bestFit="1" customWidth="1"/>
  </cols>
  <sheetData>
    <row r="1" spans="1:35" x14ac:dyDescent="0.45">
      <c r="A1" s="1" t="s">
        <v>0</v>
      </c>
      <c r="B1" s="1" t="s">
        <v>1</v>
      </c>
      <c r="C1" t="s">
        <v>66</v>
      </c>
      <c r="D1" s="2" t="s">
        <v>15</v>
      </c>
      <c r="E1" s="30" t="s">
        <v>42</v>
      </c>
      <c r="F1" s="2" t="s">
        <v>50</v>
      </c>
      <c r="G1" s="2" t="s">
        <v>23</v>
      </c>
      <c r="H1" s="3" t="s">
        <v>17</v>
      </c>
      <c r="I1" s="3" t="s">
        <v>11</v>
      </c>
      <c r="J1" s="4" t="s">
        <v>18</v>
      </c>
      <c r="K1" s="4" t="s">
        <v>12</v>
      </c>
      <c r="L1" s="5" t="s">
        <v>19</v>
      </c>
      <c r="M1" s="5" t="s">
        <v>13</v>
      </c>
      <c r="N1" s="4" t="s">
        <v>20</v>
      </c>
      <c r="O1" s="4" t="s">
        <v>14</v>
      </c>
      <c r="P1" s="6" t="s">
        <v>21</v>
      </c>
      <c r="Q1" s="6" t="s">
        <v>24</v>
      </c>
      <c r="R1" s="6" t="s">
        <v>22</v>
      </c>
      <c r="S1" s="6" t="s">
        <v>25</v>
      </c>
      <c r="T1" s="7" t="s">
        <v>26</v>
      </c>
      <c r="U1" s="7" t="s">
        <v>27</v>
      </c>
      <c r="V1" s="7" t="s">
        <v>28</v>
      </c>
      <c r="W1" s="7" t="s">
        <v>29</v>
      </c>
      <c r="X1" s="7" t="s">
        <v>30</v>
      </c>
      <c r="Y1" s="7" t="s">
        <v>31</v>
      </c>
      <c r="Z1" s="7" t="s">
        <v>32</v>
      </c>
      <c r="AA1" s="7" t="s">
        <v>33</v>
      </c>
      <c r="AB1" s="20" t="s">
        <v>34</v>
      </c>
      <c r="AC1" s="20" t="s">
        <v>35</v>
      </c>
      <c r="AD1" s="20" t="s">
        <v>36</v>
      </c>
      <c r="AE1" s="20" t="s">
        <v>37</v>
      </c>
      <c r="AF1" s="20" t="s">
        <v>38</v>
      </c>
      <c r="AG1" s="20" t="s">
        <v>39</v>
      </c>
      <c r="AH1" s="20" t="s">
        <v>40</v>
      </c>
      <c r="AI1" s="20" t="s">
        <v>41</v>
      </c>
    </row>
    <row r="2" spans="1:35" x14ac:dyDescent="0.45">
      <c r="A2" s="11" t="s">
        <v>2</v>
      </c>
      <c r="B2" s="11" t="s">
        <v>3</v>
      </c>
      <c r="C2" s="10" t="s">
        <v>4</v>
      </c>
      <c r="D2" t="s">
        <v>63</v>
      </c>
      <c r="E2" t="s">
        <v>51</v>
      </c>
      <c r="F2" t="s">
        <v>43</v>
      </c>
      <c r="G2" s="12">
        <v>1.3017103417089302</v>
      </c>
      <c r="H2" s="21">
        <v>0.25222503754034331</v>
      </c>
      <c r="I2" s="13">
        <f t="shared" ref="I2:I41" si="0">G2*0.1*10000*H2/100*1000</f>
        <v>3283.2393980418806</v>
      </c>
      <c r="J2" s="14">
        <v>201.17240271718759</v>
      </c>
      <c r="K2" s="14">
        <f t="shared" ref="K2:K41" si="1">G2*0.1*10000*1000*J2/1000000</f>
        <v>261.86819708339681</v>
      </c>
      <c r="L2" s="22">
        <v>27564.487872306956</v>
      </c>
      <c r="M2" s="14">
        <f t="shared" ref="M2:M41" si="2">G2*0.1*10000*1000*L2/1000000</f>
        <v>35880.978927292352</v>
      </c>
      <c r="N2" s="14">
        <v>156.68235211627112</v>
      </c>
      <c r="O2" s="14">
        <f t="shared" ref="O2:O41" si="3">G2*0.1*10000*1000*N2/1000000</f>
        <v>203.95503811303018</v>
      </c>
      <c r="P2" s="23">
        <v>5.643949788731482</v>
      </c>
      <c r="Q2" s="13">
        <f t="shared" ref="Q2:Q41" si="4">G2*0.1*10000*P2/100</f>
        <v>73.467878080777012</v>
      </c>
      <c r="R2" s="23">
        <v>2.5756934490392758</v>
      </c>
      <c r="S2" s="13">
        <f t="shared" ref="S2:S41" si="5">G2*0.1*10000*R2/100</f>
        <v>33.52806799686369</v>
      </c>
      <c r="T2" s="23">
        <v>58.980530464740653</v>
      </c>
      <c r="U2" s="14">
        <f t="shared" ref="U2:U41" si="6">G2*0.1*10000*1000*T2/1000000</f>
        <v>76.775566465431524</v>
      </c>
      <c r="V2" s="23">
        <v>10.036143839010261</v>
      </c>
      <c r="W2" s="14">
        <f t="shared" ref="W2:W41" si="7">G2*0.1*10000*1000*V2/1000000</f>
        <v>13.064152226118022</v>
      </c>
      <c r="X2" s="23">
        <v>173.75521606702378</v>
      </c>
      <c r="Y2" s="14">
        <f t="shared" ref="Y2:Y41" si="8">G2*0.1*10000*1000*X2/1000000</f>
        <v>226.17896168031453</v>
      </c>
      <c r="Z2" s="23">
        <v>63.030257076597572</v>
      </c>
      <c r="AA2" s="14">
        <f t="shared" ref="AA2:AA41" si="9">G2*0.1*10000*1000*Z2/1000000</f>
        <v>82.047137477179547</v>
      </c>
      <c r="AB2" s="24">
        <v>3630.0858868432028</v>
      </c>
      <c r="AC2" s="15">
        <f t="shared" ref="AC2:AC41" si="10">G2*0.1*10000*1000*AB2/1000000</f>
        <v>4725.3203401954306</v>
      </c>
      <c r="AD2" s="24">
        <v>869.03999587854059</v>
      </c>
      <c r="AE2" s="15">
        <f t="shared" ref="AE2:AE41" si="11">G2*0.1*10000*1000*AD2/1000000</f>
        <v>1131.2383499937823</v>
      </c>
      <c r="AF2" s="24">
        <v>530.18922257780594</v>
      </c>
      <c r="AG2" s="15">
        <f t="shared" ref="AG2:AG41" si="12">G2*0.1*10000*1000*AF2/1000000</f>
        <v>690.15279409214781</v>
      </c>
      <c r="AH2" s="24">
        <v>5.8577357655773721</v>
      </c>
      <c r="AI2" s="15">
        <f t="shared" ref="AI2:AI41" si="13">G2*0.1*10000*1000*AH2/1000000</f>
        <v>7.6250752250503435</v>
      </c>
    </row>
    <row r="3" spans="1:35" x14ac:dyDescent="0.45">
      <c r="A3" s="11" t="s">
        <v>2</v>
      </c>
      <c r="B3" s="11" t="s">
        <v>3</v>
      </c>
      <c r="C3" s="10" t="s">
        <v>4</v>
      </c>
      <c r="D3" t="s">
        <v>63</v>
      </c>
      <c r="E3" t="s">
        <v>52</v>
      </c>
      <c r="F3" t="s">
        <v>43</v>
      </c>
      <c r="G3" s="12">
        <v>1.3017103417089302</v>
      </c>
      <c r="H3" s="21">
        <v>0.21287691786815249</v>
      </c>
      <c r="I3" s="13">
        <f t="shared" si="0"/>
        <v>2771.0408550009661</v>
      </c>
      <c r="J3" s="14">
        <v>175.15229545758783</v>
      </c>
      <c r="K3" s="14">
        <f t="shared" si="1"/>
        <v>227.99755437120015</v>
      </c>
      <c r="L3" s="22">
        <v>26022.626753698762</v>
      </c>
      <c r="M3" s="14">
        <f t="shared" si="2"/>
        <v>33873.922363721162</v>
      </c>
      <c r="N3" s="14">
        <v>116.10095013188678</v>
      </c>
      <c r="O3" s="14">
        <f t="shared" si="3"/>
        <v>151.1298074689098</v>
      </c>
      <c r="P3" s="23">
        <v>4.7007553211554178</v>
      </c>
      <c r="Q3" s="13">
        <f t="shared" si="4"/>
        <v>61.190218153912909</v>
      </c>
      <c r="R3" s="23">
        <v>2.1821293681719296</v>
      </c>
      <c r="S3" s="13">
        <f t="shared" si="5"/>
        <v>28.405003654961742</v>
      </c>
      <c r="T3" s="23">
        <v>28.810345742725147</v>
      </c>
      <c r="U3" s="14">
        <f t="shared" si="6"/>
        <v>37.502725001515174</v>
      </c>
      <c r="V3" s="23">
        <v>20.610325370294706</v>
      </c>
      <c r="W3" s="14">
        <f t="shared" si="7"/>
        <v>26.828673680498554</v>
      </c>
      <c r="X3" s="23">
        <v>88.346616196136026</v>
      </c>
      <c r="Y3" s="14">
        <f t="shared" si="8"/>
        <v>115.00170395749994</v>
      </c>
      <c r="Z3" s="23">
        <v>39.637482486415031</v>
      </c>
      <c r="AA3" s="14">
        <f t="shared" si="9"/>
        <v>51.596520871873047</v>
      </c>
      <c r="AB3" s="24">
        <v>3635.8201067233808</v>
      </c>
      <c r="AC3" s="15">
        <f t="shared" si="10"/>
        <v>4732.7846335150907</v>
      </c>
      <c r="AD3" s="24">
        <v>619.24718732682777</v>
      </c>
      <c r="AE3" s="15">
        <f t="shared" si="11"/>
        <v>806.08046781749897</v>
      </c>
      <c r="AF3" s="24">
        <v>572.51155054744447</v>
      </c>
      <c r="AG3" s="15">
        <f t="shared" si="12"/>
        <v>745.24420609542346</v>
      </c>
      <c r="AH3" s="24">
        <v>9.5064533903518136</v>
      </c>
      <c r="AI3" s="15">
        <f t="shared" si="13"/>
        <v>12.374648691194878</v>
      </c>
    </row>
    <row r="4" spans="1:35" x14ac:dyDescent="0.45">
      <c r="A4" s="11" t="s">
        <v>2</v>
      </c>
      <c r="B4" s="11" t="s">
        <v>3</v>
      </c>
      <c r="C4" s="10" t="s">
        <v>4</v>
      </c>
      <c r="D4" t="s">
        <v>63</v>
      </c>
      <c r="E4" t="s">
        <v>53</v>
      </c>
      <c r="F4" t="s">
        <v>43</v>
      </c>
      <c r="G4" s="12">
        <v>1.3017103417089302</v>
      </c>
      <c r="H4" s="21">
        <v>0.16317066245053038</v>
      </c>
      <c r="I4" s="13">
        <f t="shared" si="0"/>
        <v>2124.0093877535242</v>
      </c>
      <c r="J4" s="14">
        <v>194.36755900789498</v>
      </c>
      <c r="K4" s="14">
        <f t="shared" si="1"/>
        <v>253.01026165329765</v>
      </c>
      <c r="L4" s="22">
        <v>33291.674209557394</v>
      </c>
      <c r="M4" s="14">
        <f t="shared" si="2"/>
        <v>43336.116611385332</v>
      </c>
      <c r="N4" s="14">
        <v>125.59134582048598</v>
      </c>
      <c r="O4" s="14">
        <f t="shared" si="3"/>
        <v>163.48355368366924</v>
      </c>
      <c r="P4" s="23">
        <v>4.224833067998377</v>
      </c>
      <c r="Q4" s="13">
        <f t="shared" si="4"/>
        <v>54.995088966073553</v>
      </c>
      <c r="R4" s="23">
        <v>1.7208466398920219</v>
      </c>
      <c r="S4" s="13">
        <f t="shared" si="5"/>
        <v>22.400438676425082</v>
      </c>
      <c r="T4" s="23">
        <v>21.680631452290843</v>
      </c>
      <c r="U4" s="14">
        <f t="shared" si="6"/>
        <v>28.221902176226891</v>
      </c>
      <c r="V4" s="23">
        <v>13.315461885012631</v>
      </c>
      <c r="W4" s="14">
        <f t="shared" si="7"/>
        <v>17.332874440352025</v>
      </c>
      <c r="X4" s="23">
        <v>51.660560785088371</v>
      </c>
      <c r="Y4" s="14">
        <f t="shared" si="8"/>
        <v>67.247086232432352</v>
      </c>
      <c r="Z4" s="23">
        <v>27.412504209947258</v>
      </c>
      <c r="AA4" s="14">
        <f t="shared" si="9"/>
        <v>35.683140222227934</v>
      </c>
      <c r="AB4" s="24">
        <v>3047.0320444076101</v>
      </c>
      <c r="AC4" s="15">
        <f t="shared" si="10"/>
        <v>3966.3531237238903</v>
      </c>
      <c r="AD4" s="24">
        <v>400.84391791496802</v>
      </c>
      <c r="AE4" s="15">
        <f t="shared" si="11"/>
        <v>521.78267336103943</v>
      </c>
      <c r="AF4" s="24">
        <v>561.59366391685751</v>
      </c>
      <c r="AG4" s="15">
        <f t="shared" si="12"/>
        <v>731.03228015878267</v>
      </c>
      <c r="AH4" s="24">
        <v>6.3475540728951234</v>
      </c>
      <c r="AI4" s="15">
        <f t="shared" si="13"/>
        <v>8.2626767812442239</v>
      </c>
    </row>
    <row r="5" spans="1:35" x14ac:dyDescent="0.45">
      <c r="A5" s="11" t="s">
        <v>2</v>
      </c>
      <c r="B5" s="11" t="s">
        <v>3</v>
      </c>
      <c r="C5" s="10" t="s">
        <v>4</v>
      </c>
      <c r="D5" t="s">
        <v>63</v>
      </c>
      <c r="E5" t="s">
        <v>54</v>
      </c>
      <c r="F5" t="s">
        <v>43</v>
      </c>
      <c r="G5" s="12">
        <v>1.3017103417089302</v>
      </c>
      <c r="H5" s="21">
        <v>0.18821132959858022</v>
      </c>
      <c r="I5" s="13">
        <f t="shared" si="0"/>
        <v>2449.9663416525996</v>
      </c>
      <c r="J5" s="14">
        <v>208.31431984708203</v>
      </c>
      <c r="K5" s="14">
        <f t="shared" si="1"/>
        <v>271.16490447100853</v>
      </c>
      <c r="L5" s="22">
        <v>29265.621519980312</v>
      </c>
      <c r="M5" s="14">
        <f t="shared" si="2"/>
        <v>38095.362189097796</v>
      </c>
      <c r="N5" s="14">
        <v>136.16643346101949</v>
      </c>
      <c r="O5" s="14">
        <f t="shared" si="3"/>
        <v>177.24925462983001</v>
      </c>
      <c r="P5" s="23">
        <v>4.7910586403573552</v>
      </c>
      <c r="Q5" s="13">
        <f t="shared" si="4"/>
        <v>62.365705798870948</v>
      </c>
      <c r="R5" s="23">
        <v>2.1749559566504479</v>
      </c>
      <c r="S5" s="13">
        <f t="shared" si="5"/>
        <v>28.311626615333275</v>
      </c>
      <c r="T5" s="23">
        <v>24.984245303557049</v>
      </c>
      <c r="U5" s="14">
        <f t="shared" si="6"/>
        <v>32.522250491432978</v>
      </c>
      <c r="V5" s="23">
        <v>15.048104441301192</v>
      </c>
      <c r="W5" s="14">
        <f t="shared" si="7"/>
        <v>19.588273174357841</v>
      </c>
      <c r="X5" s="23">
        <v>33.344564327668699</v>
      </c>
      <c r="Y5" s="14">
        <f t="shared" si="8"/>
        <v>43.404964225105026</v>
      </c>
      <c r="Z5" s="23">
        <v>12.944500764526316</v>
      </c>
      <c r="AA5" s="14">
        <f t="shared" si="9"/>
        <v>16.849990513443061</v>
      </c>
      <c r="AB5" s="24">
        <v>3681.2517579266741</v>
      </c>
      <c r="AC5" s="15">
        <f t="shared" si="10"/>
        <v>4791.9234837273316</v>
      </c>
      <c r="AD5" s="24">
        <v>338.95678754680029</v>
      </c>
      <c r="AE5" s="15">
        <f t="shared" si="11"/>
        <v>441.22355574210667</v>
      </c>
      <c r="AF5" s="24">
        <v>583.36776491734179</v>
      </c>
      <c r="AG5" s="15">
        <f t="shared" si="12"/>
        <v>759.37585261252786</v>
      </c>
      <c r="AH5" s="24">
        <v>10.158645561491642</v>
      </c>
      <c r="AI5" s="15">
        <f t="shared" si="13"/>
        <v>13.223613985149193</v>
      </c>
    </row>
    <row r="6" spans="1:35" x14ac:dyDescent="0.45">
      <c r="A6" s="11" t="s">
        <v>2</v>
      </c>
      <c r="B6" s="11" t="s">
        <v>3</v>
      </c>
      <c r="C6" s="10" t="s">
        <v>4</v>
      </c>
      <c r="D6" t="s">
        <v>63</v>
      </c>
      <c r="E6" t="s">
        <v>55</v>
      </c>
      <c r="F6" t="s">
        <v>43</v>
      </c>
      <c r="G6" s="12">
        <v>1.3017103417089302</v>
      </c>
      <c r="H6" s="21">
        <v>0.16178844535307052</v>
      </c>
      <c r="I6" s="13">
        <f t="shared" si="0"/>
        <v>2106.0169248510201</v>
      </c>
      <c r="J6" s="14">
        <v>158.95374301727617</v>
      </c>
      <c r="K6" s="14">
        <f t="shared" si="1"/>
        <v>206.91173113893205</v>
      </c>
      <c r="L6" s="22">
        <v>30024.595903263275</v>
      </c>
      <c r="M6" s="14">
        <f t="shared" si="2"/>
        <v>39083.326992909388</v>
      </c>
      <c r="N6" s="14">
        <v>123.63068901343701</v>
      </c>
      <c r="O6" s="14">
        <f t="shared" si="3"/>
        <v>160.93134644139155</v>
      </c>
      <c r="P6" s="23">
        <v>4.763101894093686</v>
      </c>
      <c r="Q6" s="13">
        <f t="shared" si="4"/>
        <v>62.001789941551444</v>
      </c>
      <c r="R6" s="23">
        <v>1.9197687372708758</v>
      </c>
      <c r="S6" s="13">
        <f t="shared" si="5"/>
        <v>24.989828189949932</v>
      </c>
      <c r="T6" s="23">
        <v>18.616539873243624</v>
      </c>
      <c r="U6" s="14">
        <f t="shared" si="6"/>
        <v>24.233342479837884</v>
      </c>
      <c r="V6" s="23">
        <v>6.6208689523214694</v>
      </c>
      <c r="W6" s="14">
        <f t="shared" si="7"/>
        <v>8.6184535863364271</v>
      </c>
      <c r="X6" s="23">
        <v>47.203248735970469</v>
      </c>
      <c r="Y6" s="14">
        <f t="shared" si="8"/>
        <v>61.444957041871746</v>
      </c>
      <c r="Z6" s="23">
        <v>12.453539219842764</v>
      </c>
      <c r="AA6" s="14">
        <f t="shared" si="9"/>
        <v>16.21090079334709</v>
      </c>
      <c r="AB6" s="24">
        <v>3576.0398047202584</v>
      </c>
      <c r="AC6" s="15">
        <f t="shared" si="10"/>
        <v>4654.9679961671436</v>
      </c>
      <c r="AD6" s="24">
        <v>398.80728405415118</v>
      </c>
      <c r="AE6" s="15">
        <f t="shared" si="11"/>
        <v>519.13156600213949</v>
      </c>
      <c r="AF6" s="24">
        <v>507.66539475260572</v>
      </c>
      <c r="AG6" s="15">
        <f t="shared" si="12"/>
        <v>660.83329447721337</v>
      </c>
      <c r="AH6" s="24">
        <v>10.173655205463042</v>
      </c>
      <c r="AI6" s="15">
        <f t="shared" si="13"/>
        <v>13.243152193932133</v>
      </c>
    </row>
    <row r="7" spans="1:35" x14ac:dyDescent="0.45">
      <c r="A7" s="11" t="s">
        <v>2</v>
      </c>
      <c r="B7" s="11" t="s">
        <v>3</v>
      </c>
      <c r="C7" s="10" t="s">
        <v>4</v>
      </c>
      <c r="D7" t="s">
        <v>63</v>
      </c>
      <c r="E7" t="s">
        <v>56</v>
      </c>
      <c r="F7" t="s">
        <v>43</v>
      </c>
      <c r="G7" s="12">
        <v>1.3017103417089302</v>
      </c>
      <c r="H7" s="21">
        <v>0.15667180358583085</v>
      </c>
      <c r="I7" s="13">
        <f t="shared" si="0"/>
        <v>2039.4130698186625</v>
      </c>
      <c r="J7" s="14">
        <v>165.57641524228356</v>
      </c>
      <c r="K7" s="14">
        <f t="shared" si="1"/>
        <v>215.53253206397264</v>
      </c>
      <c r="L7" s="22">
        <v>30435.433553205883</v>
      </c>
      <c r="M7" s="14">
        <f t="shared" si="2"/>
        <v>39618.118610603073</v>
      </c>
      <c r="N7" s="14">
        <v>119.63613818084073</v>
      </c>
      <c r="O7" s="14">
        <f t="shared" si="3"/>
        <v>155.73159831211899</v>
      </c>
      <c r="P7" s="23">
        <v>4.5044594793001584</v>
      </c>
      <c r="Q7" s="13">
        <f t="shared" si="4"/>
        <v>58.635014880138385</v>
      </c>
      <c r="R7" s="23">
        <v>1.783439839089429</v>
      </c>
      <c r="S7" s="13">
        <f t="shared" si="5"/>
        <v>23.2152208235842</v>
      </c>
      <c r="T7" s="23">
        <v>18.719448061113088</v>
      </c>
      <c r="U7" s="14">
        <f t="shared" si="6"/>
        <v>24.367299132234088</v>
      </c>
      <c r="V7" s="23">
        <v>6.5319118075276208</v>
      </c>
      <c r="W7" s="14">
        <f t="shared" si="7"/>
        <v>8.5026571509893767</v>
      </c>
      <c r="X7" s="23">
        <v>45.132304743729954</v>
      </c>
      <c r="Y7" s="14">
        <f t="shared" si="8"/>
        <v>58.749187830072295</v>
      </c>
      <c r="Z7" s="23">
        <v>15.097532352675035</v>
      </c>
      <c r="AA7" s="14">
        <f t="shared" si="9"/>
        <v>19.652613997762248</v>
      </c>
      <c r="AB7" s="24">
        <v>3375.5564825029574</v>
      </c>
      <c r="AC7" s="15">
        <f t="shared" si="10"/>
        <v>4393.9967822967192</v>
      </c>
      <c r="AD7" s="24">
        <v>397.06773775953326</v>
      </c>
      <c r="AE7" s="15">
        <f t="shared" si="11"/>
        <v>516.86718060055398</v>
      </c>
      <c r="AF7" s="24">
        <v>530.70554780450948</v>
      </c>
      <c r="AG7" s="15">
        <f t="shared" si="12"/>
        <v>690.8248999794331</v>
      </c>
      <c r="AH7" s="24">
        <v>9.2488901628249636</v>
      </c>
      <c r="AI7" s="15">
        <f t="shared" si="13"/>
        <v>12.039375974279247</v>
      </c>
    </row>
    <row r="8" spans="1:35" x14ac:dyDescent="0.45">
      <c r="A8" s="11" t="s">
        <v>2</v>
      </c>
      <c r="B8" s="11" t="s">
        <v>3</v>
      </c>
      <c r="C8" s="10" t="s">
        <v>4</v>
      </c>
      <c r="D8" t="s">
        <v>63</v>
      </c>
      <c r="E8" t="s">
        <v>57</v>
      </c>
      <c r="F8" t="s">
        <v>43</v>
      </c>
      <c r="G8" s="12">
        <v>1.3017103417089302</v>
      </c>
      <c r="H8" s="21">
        <v>0.23800612171901994</v>
      </c>
      <c r="I8" s="13">
        <f t="shared" si="0"/>
        <v>3098.1503003168268</v>
      </c>
      <c r="J8" s="14">
        <v>216.15869631453614</v>
      </c>
      <c r="K8" s="14">
        <f t="shared" si="1"/>
        <v>281.37601044295172</v>
      </c>
      <c r="L8" s="22">
        <v>31143.24345005639</v>
      </c>
      <c r="M8" s="14">
        <f t="shared" si="2"/>
        <v>40539.482073297309</v>
      </c>
      <c r="N8" s="14">
        <v>136.2516900939967</v>
      </c>
      <c r="O8" s="14">
        <f t="shared" si="3"/>
        <v>177.36023407067569</v>
      </c>
      <c r="P8" s="23">
        <v>5.5416574240693706</v>
      </c>
      <c r="Q8" s="13">
        <f t="shared" si="4"/>
        <v>72.136327791191704</v>
      </c>
      <c r="R8" s="23">
        <v>2.5189351927588048</v>
      </c>
      <c r="S8" s="13">
        <f t="shared" si="5"/>
        <v>32.789239905087136</v>
      </c>
      <c r="T8" s="23">
        <v>31.504067113589411</v>
      </c>
      <c r="U8" s="14">
        <f t="shared" si="6"/>
        <v>41.009169967651545</v>
      </c>
      <c r="V8" s="23">
        <v>7.6087270675927687</v>
      </c>
      <c r="W8" s="14">
        <f t="shared" si="7"/>
        <v>9.9043587111261697</v>
      </c>
      <c r="X8" s="23">
        <v>117.09770410125526</v>
      </c>
      <c r="Y8" s="14">
        <f t="shared" si="8"/>
        <v>152.42729241897618</v>
      </c>
      <c r="Z8" s="23">
        <v>40.919613075714423</v>
      </c>
      <c r="AA8" s="14">
        <f t="shared" si="9"/>
        <v>53.265483519385427</v>
      </c>
      <c r="AB8" s="24">
        <v>3999.4522040129586</v>
      </c>
      <c r="AC8" s="15">
        <f t="shared" si="10"/>
        <v>5206.1282951342419</v>
      </c>
      <c r="AD8" s="24">
        <v>720.72390617302938</v>
      </c>
      <c r="AE8" s="15">
        <f t="shared" si="11"/>
        <v>938.17376218228901</v>
      </c>
      <c r="AF8" s="24">
        <v>613.79767758245157</v>
      </c>
      <c r="AG8" s="15">
        <f t="shared" si="12"/>
        <v>798.98678462600071</v>
      </c>
      <c r="AH8" s="24">
        <v>5.634189737272755</v>
      </c>
      <c r="AI8" s="15">
        <f t="shared" si="13"/>
        <v>7.3340830481582655</v>
      </c>
    </row>
    <row r="9" spans="1:35" x14ac:dyDescent="0.45">
      <c r="A9" s="11" t="s">
        <v>2</v>
      </c>
      <c r="B9" s="11" t="s">
        <v>3</v>
      </c>
      <c r="C9" s="10" t="s">
        <v>4</v>
      </c>
      <c r="D9" t="s">
        <v>63</v>
      </c>
      <c r="E9" t="s">
        <v>51</v>
      </c>
      <c r="F9" t="s">
        <v>44</v>
      </c>
      <c r="G9" s="12">
        <v>1.3017103417089302</v>
      </c>
      <c r="H9" s="21">
        <v>0.174677810840356</v>
      </c>
      <c r="I9" s="13">
        <f t="shared" si="0"/>
        <v>2273.7991283796769</v>
      </c>
      <c r="J9" s="14">
        <v>157.16468281819922</v>
      </c>
      <c r="K9" s="14">
        <f t="shared" si="1"/>
        <v>204.58289297585375</v>
      </c>
      <c r="L9" s="22">
        <v>28830.20933225565</v>
      </c>
      <c r="M9" s="14">
        <f t="shared" si="2"/>
        <v>37528.581641430486</v>
      </c>
      <c r="N9" s="14">
        <v>122.12797008802742</v>
      </c>
      <c r="O9" s="14">
        <f t="shared" si="3"/>
        <v>158.97524167550418</v>
      </c>
      <c r="P9" s="23">
        <v>4.8799293658412912</v>
      </c>
      <c r="Q9" s="13">
        <f t="shared" si="4"/>
        <v>63.5225452232471</v>
      </c>
      <c r="R9" s="23">
        <v>1.8713288457993087</v>
      </c>
      <c r="S9" s="13">
        <f t="shared" si="5"/>
        <v>24.359281113151962</v>
      </c>
      <c r="T9" s="23">
        <v>21.700879215974275</v>
      </c>
      <c r="U9" s="14">
        <f t="shared" si="6"/>
        <v>28.248258899610093</v>
      </c>
      <c r="V9" s="23">
        <v>7.1897732894181372</v>
      </c>
      <c r="W9" s="14">
        <f t="shared" si="7"/>
        <v>9.3590022453782229</v>
      </c>
      <c r="X9" s="23">
        <v>63.910217905516006</v>
      </c>
      <c r="Y9" s="14">
        <f t="shared" si="8"/>
        <v>83.19259158848142</v>
      </c>
      <c r="Z9" s="23">
        <v>22.892157369537806</v>
      </c>
      <c r="AA9" s="14">
        <f t="shared" si="9"/>
        <v>29.79895799195566</v>
      </c>
      <c r="AB9" s="24">
        <v>2938.2964529069804</v>
      </c>
      <c r="AC9" s="15">
        <f t="shared" si="10"/>
        <v>3824.8108797556829</v>
      </c>
      <c r="AD9" s="24">
        <v>422.85828615023047</v>
      </c>
      <c r="AE9" s="15">
        <f t="shared" si="11"/>
        <v>550.4390041590691</v>
      </c>
      <c r="AF9" s="24">
        <v>487.99293658412904</v>
      </c>
      <c r="AG9" s="15">
        <f t="shared" si="12"/>
        <v>635.22545223247084</v>
      </c>
      <c r="AH9" s="24">
        <v>4.96264003305894</v>
      </c>
      <c r="AI9" s="15">
        <f t="shared" si="13"/>
        <v>6.45991985321157</v>
      </c>
    </row>
    <row r="10" spans="1:35" x14ac:dyDescent="0.45">
      <c r="A10" s="11" t="s">
        <v>2</v>
      </c>
      <c r="B10" s="11" t="s">
        <v>3</v>
      </c>
      <c r="C10" s="10" t="s">
        <v>4</v>
      </c>
      <c r="D10" t="s">
        <v>63</v>
      </c>
      <c r="E10" t="s">
        <v>52</v>
      </c>
      <c r="F10" t="s">
        <v>44</v>
      </c>
      <c r="G10" s="12">
        <v>1.3017103417089302</v>
      </c>
      <c r="H10" s="21">
        <v>0.19025064209787762</v>
      </c>
      <c r="I10" s="13">
        <f t="shared" si="0"/>
        <v>2476.5122833557166</v>
      </c>
      <c r="J10" s="14">
        <v>187.43257882026322</v>
      </c>
      <c r="K10" s="14">
        <f t="shared" si="1"/>
        <v>243.98292622351084</v>
      </c>
      <c r="L10" s="22">
        <v>29156.178927596506</v>
      </c>
      <c r="M10" s="14">
        <f t="shared" si="2"/>
        <v>37952.899634768357</v>
      </c>
      <c r="N10" s="14">
        <v>119.00481194937346</v>
      </c>
      <c r="O10" s="14">
        <f t="shared" si="3"/>
        <v>154.90979442762591</v>
      </c>
      <c r="P10" s="23">
        <v>4.5921259488859052</v>
      </c>
      <c r="Q10" s="13">
        <f t="shared" si="4"/>
        <v>59.776178380947165</v>
      </c>
      <c r="R10" s="23">
        <v>1.8450506044630868</v>
      </c>
      <c r="S10" s="13">
        <f t="shared" si="5"/>
        <v>24.017214528059132</v>
      </c>
      <c r="T10" s="23">
        <v>19.117325682057658</v>
      </c>
      <c r="U10" s="14">
        <f t="shared" si="6"/>
        <v>24.885220546152183</v>
      </c>
      <c r="V10" s="23">
        <v>7.4804912046333909</v>
      </c>
      <c r="W10" s="14">
        <f t="shared" si="7"/>
        <v>9.7374327621339791</v>
      </c>
      <c r="X10" s="23">
        <v>69.443056605697365</v>
      </c>
      <c r="Y10" s="14">
        <f t="shared" si="8"/>
        <v>90.394744943514894</v>
      </c>
      <c r="Z10" s="23">
        <v>29.17893616196595</v>
      </c>
      <c r="AA10" s="14">
        <f t="shared" si="9"/>
        <v>37.982522962095757</v>
      </c>
      <c r="AB10" s="24">
        <v>3253.5151605449896</v>
      </c>
      <c r="AC10" s="15">
        <f t="shared" si="10"/>
        <v>4235.1343313882035</v>
      </c>
      <c r="AD10" s="24">
        <v>490.68475437624272</v>
      </c>
      <c r="AE10" s="15">
        <f t="shared" si="11"/>
        <v>638.72941929046146</v>
      </c>
      <c r="AF10" s="24">
        <v>539.08885974024338</v>
      </c>
      <c r="AG10" s="15">
        <f t="shared" si="12"/>
        <v>701.73754382394986</v>
      </c>
      <c r="AH10" s="24">
        <v>4.4417884922259487</v>
      </c>
      <c r="AI10" s="15">
        <f t="shared" si="13"/>
        <v>5.7819220160142333</v>
      </c>
    </row>
    <row r="11" spans="1:35" x14ac:dyDescent="0.45">
      <c r="A11" s="11" t="s">
        <v>2</v>
      </c>
      <c r="B11" s="11" t="s">
        <v>3</v>
      </c>
      <c r="C11" s="10" t="s">
        <v>4</v>
      </c>
      <c r="D11" t="s">
        <v>63</v>
      </c>
      <c r="E11" t="s">
        <v>53</v>
      </c>
      <c r="F11" t="s">
        <v>44</v>
      </c>
      <c r="G11" s="12">
        <v>1.3017103417089302</v>
      </c>
      <c r="H11" s="21">
        <v>0.18937331037608679</v>
      </c>
      <c r="I11" s="13">
        <f t="shared" si="0"/>
        <v>2465.0919656020724</v>
      </c>
      <c r="J11" s="14">
        <v>142.12395725039832</v>
      </c>
      <c r="K11" s="14">
        <f t="shared" si="1"/>
        <v>185.00422495744138</v>
      </c>
      <c r="L11" s="22">
        <v>27891.826610390672</v>
      </c>
      <c r="M11" s="14">
        <f t="shared" si="2"/>
        <v>36307.079147897872</v>
      </c>
      <c r="N11" s="14">
        <v>113.69916580031867</v>
      </c>
      <c r="O11" s="14">
        <f t="shared" si="3"/>
        <v>148.00337996595312</v>
      </c>
      <c r="P11" s="23">
        <v>4.2972724072693032</v>
      </c>
      <c r="Q11" s="13">
        <f t="shared" si="4"/>
        <v>55.938039336828815</v>
      </c>
      <c r="R11" s="23">
        <v>1.9178757521703098</v>
      </c>
      <c r="S11" s="13">
        <f t="shared" si="5"/>
        <v>24.965187007128858</v>
      </c>
      <c r="T11" s="23">
        <v>30.774376376061664</v>
      </c>
      <c r="U11" s="14">
        <f t="shared" si="6"/>
        <v>40.059323988362465</v>
      </c>
      <c r="V11" s="23">
        <v>8.0024816999482855</v>
      </c>
      <c r="W11" s="14">
        <f t="shared" si="7"/>
        <v>10.416913188159144</v>
      </c>
      <c r="X11" s="23">
        <v>48.666944264129945</v>
      </c>
      <c r="Y11" s="14">
        <f t="shared" si="8"/>
        <v>63.350264647990052</v>
      </c>
      <c r="Z11" s="23">
        <v>22.387189545781254</v>
      </c>
      <c r="AA11" s="14">
        <f t="shared" si="9"/>
        <v>29.141636153541505</v>
      </c>
      <c r="AB11" s="24">
        <v>3280.8798881664961</v>
      </c>
      <c r="AC11" s="15">
        <f t="shared" si="10"/>
        <v>4270.7552803311664</v>
      </c>
      <c r="AD11" s="24">
        <v>424.89225983910603</v>
      </c>
      <c r="AE11" s="15">
        <f t="shared" si="11"/>
        <v>553.08664874464228</v>
      </c>
      <c r="AF11" s="24">
        <v>589.19788741235641</v>
      </c>
      <c r="AG11" s="15">
        <f t="shared" si="12"/>
        <v>766.96498335771821</v>
      </c>
      <c r="AH11" s="24">
        <v>7.1896793721543313</v>
      </c>
      <c r="AI11" s="15">
        <f t="shared" si="13"/>
        <v>9.3588799923046615</v>
      </c>
    </row>
    <row r="12" spans="1:35" x14ac:dyDescent="0.45">
      <c r="A12" s="11" t="s">
        <v>2</v>
      </c>
      <c r="B12" s="11" t="s">
        <v>3</v>
      </c>
      <c r="C12" s="10" t="s">
        <v>4</v>
      </c>
      <c r="D12" t="s">
        <v>63</v>
      </c>
      <c r="E12" t="s">
        <v>54</v>
      </c>
      <c r="F12" t="s">
        <v>44</v>
      </c>
      <c r="G12" s="12">
        <v>1.3017103417089302</v>
      </c>
      <c r="H12" s="21">
        <v>0.19089699801144752</v>
      </c>
      <c r="I12" s="13">
        <f t="shared" si="0"/>
        <v>2484.9259651269035</v>
      </c>
      <c r="J12" s="14">
        <v>155.22468521934397</v>
      </c>
      <c r="K12" s="14">
        <f t="shared" si="1"/>
        <v>202.05757803853336</v>
      </c>
      <c r="L12" s="22">
        <v>28256.469644718902</v>
      </c>
      <c r="M12" s="14">
        <f t="shared" si="2"/>
        <v>36781.738756715058</v>
      </c>
      <c r="N12" s="14">
        <v>114.32716336514557</v>
      </c>
      <c r="O12" s="14">
        <f t="shared" si="3"/>
        <v>148.82085089065632</v>
      </c>
      <c r="P12" s="23">
        <v>4.7356541839762611</v>
      </c>
      <c r="Q12" s="13">
        <f t="shared" si="4"/>
        <v>61.644500260390643</v>
      </c>
      <c r="R12" s="23">
        <v>1.9293405934718104</v>
      </c>
      <c r="S12" s="13">
        <f t="shared" si="5"/>
        <v>25.114426032011007</v>
      </c>
      <c r="T12" s="23">
        <v>24.672640202903867</v>
      </c>
      <c r="U12" s="14">
        <f t="shared" si="6"/>
        <v>32.116630909383481</v>
      </c>
      <c r="V12" s="23">
        <v>7.7451951694155001</v>
      </c>
      <c r="W12" s="14">
        <f t="shared" si="7"/>
        <v>10.082000650582206</v>
      </c>
      <c r="X12" s="23">
        <v>55.512030805327448</v>
      </c>
      <c r="Y12" s="14">
        <f t="shared" si="8"/>
        <v>72.260584588559453</v>
      </c>
      <c r="Z12" s="23">
        <v>23.235585508246494</v>
      </c>
      <c r="AA12" s="14">
        <f t="shared" si="9"/>
        <v>30.24600195174661</v>
      </c>
      <c r="AB12" s="24">
        <v>3409.8773590504456</v>
      </c>
      <c r="AC12" s="15">
        <f t="shared" si="10"/>
        <v>4438.6726222350999</v>
      </c>
      <c r="AD12" s="24">
        <v>442.61343026706237</v>
      </c>
      <c r="AE12" s="15">
        <f t="shared" si="11"/>
        <v>576.15447955789944</v>
      </c>
      <c r="AF12" s="24">
        <v>602.53203560830866</v>
      </c>
      <c r="AG12" s="15">
        <f t="shared" si="12"/>
        <v>784.32218196226881</v>
      </c>
      <c r="AH12" s="24">
        <v>12.999835014836798</v>
      </c>
      <c r="AI12" s="15">
        <f t="shared" si="13"/>
        <v>16.922019679322926</v>
      </c>
    </row>
    <row r="13" spans="1:35" x14ac:dyDescent="0.45">
      <c r="A13" s="11" t="s">
        <v>2</v>
      </c>
      <c r="B13" s="11" t="s">
        <v>3</v>
      </c>
      <c r="C13" s="10" t="s">
        <v>4</v>
      </c>
      <c r="D13" t="s">
        <v>63</v>
      </c>
      <c r="E13" t="s">
        <v>55</v>
      </c>
      <c r="F13" t="s">
        <v>44</v>
      </c>
      <c r="G13" s="12">
        <v>1.3017103417089302</v>
      </c>
      <c r="H13" s="21">
        <v>0.19591134467804544</v>
      </c>
      <c r="I13" s="13">
        <f t="shared" si="0"/>
        <v>2550.1982342551451</v>
      </c>
      <c r="J13" s="14">
        <v>196.49625646254424</v>
      </c>
      <c r="K13" s="14">
        <f t="shared" si="1"/>
        <v>255.78120914438406</v>
      </c>
      <c r="L13" s="22">
        <v>31540.168345013513</v>
      </c>
      <c r="M13" s="14">
        <f t="shared" si="2"/>
        <v>41056.163313944722</v>
      </c>
      <c r="N13" s="14">
        <v>127.97448497816984</v>
      </c>
      <c r="O13" s="14">
        <f t="shared" si="3"/>
        <v>166.58571057095781</v>
      </c>
      <c r="P13" s="23">
        <v>4.7315996254247628</v>
      </c>
      <c r="Q13" s="13">
        <f t="shared" si="4"/>
        <v>61.591721652415139</v>
      </c>
      <c r="R13" s="23">
        <v>2.1132416627714083</v>
      </c>
      <c r="S13" s="13">
        <f t="shared" si="5"/>
        <v>27.508285269597177</v>
      </c>
      <c r="T13" s="23">
        <v>25.570034550260072</v>
      </c>
      <c r="U13" s="14">
        <f t="shared" si="6"/>
        <v>33.284778411928187</v>
      </c>
      <c r="V13" s="23">
        <v>5.5670912018005101</v>
      </c>
      <c r="W13" s="14">
        <f t="shared" si="7"/>
        <v>7.2467401906205211</v>
      </c>
      <c r="X13" s="23">
        <v>64.090643924274332</v>
      </c>
      <c r="Y13" s="14">
        <f t="shared" si="8"/>
        <v>83.427454003012514</v>
      </c>
      <c r="Z13" s="23">
        <v>32.395732844519991</v>
      </c>
      <c r="AA13" s="14">
        <f t="shared" si="9"/>
        <v>42.169860470951335</v>
      </c>
      <c r="AB13" s="24">
        <v>3472.2801039364954</v>
      </c>
      <c r="AC13" s="15">
        <f t="shared" si="10"/>
        <v>4519.9029206042951</v>
      </c>
      <c r="AD13" s="24">
        <v>481.76440097028632</v>
      </c>
      <c r="AE13" s="15">
        <f t="shared" si="11"/>
        <v>627.11770301022943</v>
      </c>
      <c r="AF13" s="24">
        <v>558.55217667079046</v>
      </c>
      <c r="AG13" s="15">
        <f t="shared" si="12"/>
        <v>727.07314475640146</v>
      </c>
      <c r="AH13" s="24">
        <v>7.0160885468816794</v>
      </c>
      <c r="AI13" s="15">
        <f t="shared" si="13"/>
        <v>9.1329150198214624</v>
      </c>
    </row>
    <row r="14" spans="1:35" x14ac:dyDescent="0.45">
      <c r="A14" s="11" t="s">
        <v>2</v>
      </c>
      <c r="B14" s="11" t="s">
        <v>3</v>
      </c>
      <c r="C14" s="10" t="s">
        <v>4</v>
      </c>
      <c r="D14" t="s">
        <v>63</v>
      </c>
      <c r="E14" t="s">
        <v>56</v>
      </c>
      <c r="F14" t="s">
        <v>44</v>
      </c>
      <c r="G14" s="12">
        <v>1.3017103417089302</v>
      </c>
      <c r="H14" s="21">
        <v>0.16675701501665063</v>
      </c>
      <c r="I14" s="13">
        <f t="shared" si="0"/>
        <v>2170.6933099968546</v>
      </c>
      <c r="J14" s="14">
        <v>154.36619382381889</v>
      </c>
      <c r="K14" s="14">
        <f t="shared" si="1"/>
        <v>200.94007091071023</v>
      </c>
      <c r="L14" s="22">
        <v>31164.495734242679</v>
      </c>
      <c r="M14" s="14">
        <f t="shared" si="2"/>
        <v>40567.146391407528</v>
      </c>
      <c r="N14" s="14">
        <v>119.41535748635046</v>
      </c>
      <c r="O14" s="14">
        <f t="shared" si="3"/>
        <v>155.4442057988513</v>
      </c>
      <c r="P14" s="23">
        <v>4.6001125759498027</v>
      </c>
      <c r="Q14" s="13">
        <f t="shared" si="4"/>
        <v>59.880141131391646</v>
      </c>
      <c r="R14" s="23">
        <v>1.4819154607086613</v>
      </c>
      <c r="S14" s="13">
        <f t="shared" si="5"/>
        <v>19.290246807428183</v>
      </c>
      <c r="T14" s="23">
        <v>21.814368136808664</v>
      </c>
      <c r="U14" s="14">
        <f t="shared" si="6"/>
        <v>28.395988601529606</v>
      </c>
      <c r="V14" s="23">
        <v>3.7890572858080245</v>
      </c>
      <c r="W14" s="14">
        <f t="shared" si="7"/>
        <v>4.9322550542638748</v>
      </c>
      <c r="X14" s="23">
        <v>56.492318093207096</v>
      </c>
      <c r="Y14" s="14">
        <f t="shared" si="8"/>
        <v>73.536634689038181</v>
      </c>
      <c r="Z14" s="23">
        <v>24.219654170884887</v>
      </c>
      <c r="AA14" s="14">
        <f t="shared" si="9"/>
        <v>31.526974306854683</v>
      </c>
      <c r="AB14" s="24">
        <v>3265.512013791526</v>
      </c>
      <c r="AC14" s="15">
        <f t="shared" si="10"/>
        <v>4250.7507593271839</v>
      </c>
      <c r="AD14" s="24">
        <v>434.51224928186053</v>
      </c>
      <c r="AE14" s="15">
        <f t="shared" si="11"/>
        <v>565.60908848940653</v>
      </c>
      <c r="AF14" s="24">
        <v>592.68995406429224</v>
      </c>
      <c r="AG14" s="15">
        <f t="shared" si="12"/>
        <v>771.51064263247997</v>
      </c>
      <c r="AH14" s="24">
        <v>6.4509822974521835</v>
      </c>
      <c r="AI14" s="15">
        <f t="shared" si="13"/>
        <v>8.3973103707747416</v>
      </c>
    </row>
    <row r="15" spans="1:35" x14ac:dyDescent="0.45">
      <c r="A15" s="11" t="s">
        <v>2</v>
      </c>
      <c r="B15" s="11" t="s">
        <v>3</v>
      </c>
      <c r="C15" s="10" t="s">
        <v>4</v>
      </c>
      <c r="D15" t="s">
        <v>63</v>
      </c>
      <c r="E15" t="s">
        <v>57</v>
      </c>
      <c r="F15" t="s">
        <v>44</v>
      </c>
      <c r="G15" s="12">
        <v>1.3017103417089302</v>
      </c>
      <c r="H15" s="21">
        <v>0.18097240440311954</v>
      </c>
      <c r="I15" s="13">
        <f t="shared" si="0"/>
        <v>2355.7365037547142</v>
      </c>
      <c r="J15" s="14">
        <v>193.55091035567557</v>
      </c>
      <c r="K15" s="14">
        <f t="shared" si="1"/>
        <v>251.94722165716098</v>
      </c>
      <c r="L15" s="22">
        <v>32065.897088776102</v>
      </c>
      <c r="M15" s="14">
        <f t="shared" si="2"/>
        <v>41740.509856634133</v>
      </c>
      <c r="N15" s="14">
        <v>131.92275979466444</v>
      </c>
      <c r="O15" s="14">
        <f t="shared" si="3"/>
        <v>171.72522073149776</v>
      </c>
      <c r="P15" s="23">
        <v>4.9650719499478626</v>
      </c>
      <c r="Q15" s="13">
        <f t="shared" si="4"/>
        <v>64.630855045760569</v>
      </c>
      <c r="R15" s="23">
        <v>2.317033576642336</v>
      </c>
      <c r="S15" s="13">
        <f t="shared" si="5"/>
        <v>30.161065688021598</v>
      </c>
      <c r="T15" s="23">
        <v>20.081872670382577</v>
      </c>
      <c r="U15" s="14">
        <f t="shared" si="6"/>
        <v>26.14078133591893</v>
      </c>
      <c r="V15" s="23">
        <v>7.7795627742704836</v>
      </c>
      <c r="W15" s="14">
        <f t="shared" si="7"/>
        <v>10.126737317241703</v>
      </c>
      <c r="X15" s="23">
        <v>54.245592953839463</v>
      </c>
      <c r="Y15" s="14">
        <f t="shared" si="8"/>
        <v>70.612049340145902</v>
      </c>
      <c r="Z15" s="23">
        <v>22.050481291625648</v>
      </c>
      <c r="AA15" s="14">
        <f t="shared" si="9"/>
        <v>28.703339536968397</v>
      </c>
      <c r="AB15" s="24">
        <v>3598.6427737226277</v>
      </c>
      <c r="AC15" s="15">
        <f t="shared" si="10"/>
        <v>4684.3905146708548</v>
      </c>
      <c r="AD15" s="24">
        <v>415.8247758081335</v>
      </c>
      <c r="AE15" s="15">
        <f t="shared" si="11"/>
        <v>541.2834110082448</v>
      </c>
      <c r="AF15" s="24">
        <v>621.66838373305518</v>
      </c>
      <c r="AG15" s="15">
        <f t="shared" si="12"/>
        <v>809.23216421879363</v>
      </c>
      <c r="AH15" s="24">
        <v>13.653947862356622</v>
      </c>
      <c r="AI15" s="15">
        <f t="shared" si="13"/>
        <v>17.773485137584156</v>
      </c>
    </row>
    <row r="16" spans="1:35" x14ac:dyDescent="0.45">
      <c r="A16" s="11" t="s">
        <v>2</v>
      </c>
      <c r="B16" s="11" t="s">
        <v>3</v>
      </c>
      <c r="C16" s="10" t="s">
        <v>4</v>
      </c>
      <c r="D16" t="s">
        <v>63</v>
      </c>
      <c r="E16" t="s">
        <v>51</v>
      </c>
      <c r="F16" t="s">
        <v>45</v>
      </c>
      <c r="G16" s="12">
        <v>1.3017103417089302</v>
      </c>
      <c r="H16" s="21">
        <v>0.17299286856734267</v>
      </c>
      <c r="I16" s="13">
        <f t="shared" si="0"/>
        <v>2251.8660605600367</v>
      </c>
      <c r="J16" s="14">
        <v>209.22108944022204</v>
      </c>
      <c r="K16" s="14">
        <f t="shared" si="1"/>
        <v>272.34525582794606</v>
      </c>
      <c r="L16" s="22">
        <v>27539.334098410622</v>
      </c>
      <c r="M16" s="14">
        <f t="shared" si="2"/>
        <v>35848.23599967848</v>
      </c>
      <c r="N16" s="14">
        <v>121.64016827919886</v>
      </c>
      <c r="O16" s="14">
        <f t="shared" si="3"/>
        <v>158.34026501624771</v>
      </c>
      <c r="P16" s="23">
        <v>4.4248314173914496</v>
      </c>
      <c r="Q16" s="13">
        <f t="shared" si="4"/>
        <v>57.598488163370341</v>
      </c>
      <c r="R16" s="23">
        <v>1.6323624022395369</v>
      </c>
      <c r="S16" s="13">
        <f t="shared" si="5"/>
        <v>21.248630204120378</v>
      </c>
      <c r="T16" s="23">
        <v>19.67759540469244</v>
      </c>
      <c r="U16" s="14">
        <f t="shared" si="6"/>
        <v>25.614529438252269</v>
      </c>
      <c r="V16" s="23">
        <v>7.9444660519741594</v>
      </c>
      <c r="W16" s="14">
        <f t="shared" si="7"/>
        <v>10.341393619210278</v>
      </c>
      <c r="X16" s="23">
        <v>49.071071522515297</v>
      </c>
      <c r="Y16" s="14">
        <f t="shared" si="8"/>
        <v>63.876321279596738</v>
      </c>
      <c r="Z16" s="23">
        <v>9.7906460492190845</v>
      </c>
      <c r="AA16" s="14">
        <f t="shared" si="9"/>
        <v>12.744585214280162</v>
      </c>
      <c r="AB16" s="24">
        <v>3113.8276511214608</v>
      </c>
      <c r="AC16" s="15">
        <f t="shared" si="10"/>
        <v>4053.3016557640321</v>
      </c>
      <c r="AD16" s="24">
        <v>355.45093249193661</v>
      </c>
      <c r="AE16" s="15">
        <f t="shared" si="11"/>
        <v>462.69415479483672</v>
      </c>
      <c r="AF16" s="24">
        <v>510.4159166846066</v>
      </c>
      <c r="AG16" s="15">
        <f t="shared" si="12"/>
        <v>664.41367732119613</v>
      </c>
      <c r="AH16" s="24">
        <v>13.656289231979034</v>
      </c>
      <c r="AI16" s="15">
        <f t="shared" si="13"/>
        <v>17.776532922635415</v>
      </c>
    </row>
    <row r="17" spans="1:35" x14ac:dyDescent="0.45">
      <c r="A17" s="11" t="s">
        <v>2</v>
      </c>
      <c r="B17" s="11" t="s">
        <v>3</v>
      </c>
      <c r="C17" s="10" t="s">
        <v>4</v>
      </c>
      <c r="D17" t="s">
        <v>63</v>
      </c>
      <c r="E17" t="s">
        <v>52</v>
      </c>
      <c r="F17" t="s">
        <v>45</v>
      </c>
      <c r="G17" s="12">
        <v>1.3017103417089302</v>
      </c>
      <c r="H17" s="21">
        <v>0.19359489247672435</v>
      </c>
      <c r="I17" s="13">
        <f t="shared" si="0"/>
        <v>2520.0447363898047</v>
      </c>
      <c r="J17" s="14">
        <v>190.75798887295875</v>
      </c>
      <c r="K17" s="14">
        <f t="shared" si="1"/>
        <v>248.31164687952744</v>
      </c>
      <c r="L17" s="22">
        <v>28364.015099434702</v>
      </c>
      <c r="M17" s="14">
        <f t="shared" si="2"/>
        <v>36921.731787322402</v>
      </c>
      <c r="N17" s="14">
        <v>113.85555356815338</v>
      </c>
      <c r="O17" s="14">
        <f t="shared" si="3"/>
        <v>148.20695154066036</v>
      </c>
      <c r="P17" s="23">
        <v>4.4703046073488508</v>
      </c>
      <c r="Q17" s="13">
        <f t="shared" si="4"/>
        <v>58.190417379750777</v>
      </c>
      <c r="R17" s="23">
        <v>1.8455385993642044</v>
      </c>
      <c r="S17" s="13">
        <f t="shared" si="5"/>
        <v>24.023566808153987</v>
      </c>
      <c r="T17" s="23">
        <v>26.775362030855781</v>
      </c>
      <c r="U17" s="14">
        <f t="shared" si="6"/>
        <v>34.853765658565592</v>
      </c>
      <c r="V17" s="23">
        <v>6.6168130921075718</v>
      </c>
      <c r="W17" s="14">
        <f t="shared" si="7"/>
        <v>8.6131740311514697</v>
      </c>
      <c r="X17" s="23">
        <v>56.309386221243109</v>
      </c>
      <c r="Y17" s="14">
        <f t="shared" si="8"/>
        <v>73.298510379474493</v>
      </c>
      <c r="Z17" s="23">
        <v>29.392149654895146</v>
      </c>
      <c r="AA17" s="14">
        <f t="shared" si="9"/>
        <v>38.26006517083357</v>
      </c>
      <c r="AB17" s="24">
        <v>3052.778173349177</v>
      </c>
      <c r="AC17" s="15">
        <f t="shared" si="10"/>
        <v>3973.8329191919206</v>
      </c>
      <c r="AD17" s="24">
        <v>459.3742592099353</v>
      </c>
      <c r="AE17" s="15">
        <f t="shared" si="11"/>
        <v>597.97222392845151</v>
      </c>
      <c r="AF17" s="24">
        <v>571.95613455241414</v>
      </c>
      <c r="AG17" s="15">
        <f t="shared" si="12"/>
        <v>744.52121535074184</v>
      </c>
      <c r="AH17" s="24">
        <v>6.1920031438363283</v>
      </c>
      <c r="AI17" s="15">
        <f t="shared" si="13"/>
        <v>8.0601945282259582</v>
      </c>
    </row>
    <row r="18" spans="1:35" x14ac:dyDescent="0.45">
      <c r="A18" s="11" t="s">
        <v>2</v>
      </c>
      <c r="B18" s="11" t="s">
        <v>3</v>
      </c>
      <c r="C18" s="10" t="s">
        <v>4</v>
      </c>
      <c r="D18" t="s">
        <v>63</v>
      </c>
      <c r="E18" t="s">
        <v>53</v>
      </c>
      <c r="F18" t="s">
        <v>45</v>
      </c>
      <c r="G18" s="12">
        <v>1.3017103417089302</v>
      </c>
      <c r="H18" s="21">
        <v>0.17231728316420611</v>
      </c>
      <c r="I18" s="13">
        <f t="shared" si="0"/>
        <v>2243.0718955003322</v>
      </c>
      <c r="J18" s="14">
        <v>164.17594418355011</v>
      </c>
      <c r="K18" s="14">
        <f t="shared" si="1"/>
        <v>213.70952440355526</v>
      </c>
      <c r="L18" s="22">
        <v>28826.24136246054</v>
      </c>
      <c r="M18" s="14">
        <f t="shared" si="2"/>
        <v>37523.416494112607</v>
      </c>
      <c r="N18" s="14">
        <v>111.67782249694977</v>
      </c>
      <c r="O18" s="14">
        <f t="shared" si="3"/>
        <v>145.37217648381375</v>
      </c>
      <c r="P18" s="23">
        <v>4.3798152050922985</v>
      </c>
      <c r="Q18" s="13">
        <f t="shared" si="4"/>
        <v>57.012507472426641</v>
      </c>
      <c r="R18" s="23">
        <v>1.8462921239264958</v>
      </c>
      <c r="S18" s="13">
        <f t="shared" si="5"/>
        <v>24.033375515308652</v>
      </c>
      <c r="T18" s="23">
        <v>22.339120513089032</v>
      </c>
      <c r="U18" s="14">
        <f t="shared" si="6"/>
        <v>29.079064196570094</v>
      </c>
      <c r="V18" s="23">
        <v>6.3092123685040784</v>
      </c>
      <c r="W18" s="14">
        <f t="shared" si="7"/>
        <v>8.2127669881196521</v>
      </c>
      <c r="X18" s="23">
        <v>41.857386534329301</v>
      </c>
      <c r="Y18" s="14">
        <f t="shared" si="8"/>
        <v>54.48619292864457</v>
      </c>
      <c r="Z18" s="23">
        <v>21.65849022023788</v>
      </c>
      <c r="AA18" s="14">
        <f t="shared" si="9"/>
        <v>28.193080705485375</v>
      </c>
      <c r="AB18" s="24">
        <v>2934.1448016460067</v>
      </c>
      <c r="AC18" s="15">
        <f t="shared" si="10"/>
        <v>3819.4066323741044</v>
      </c>
      <c r="AD18" s="24">
        <v>347.16604039643511</v>
      </c>
      <c r="AE18" s="15">
        <f t="shared" si="11"/>
        <v>451.90962507417981</v>
      </c>
      <c r="AF18" s="24">
        <v>576.96628872702991</v>
      </c>
      <c r="AG18" s="15">
        <f t="shared" si="12"/>
        <v>751.0429848533953</v>
      </c>
      <c r="AH18" s="24">
        <v>6.0063670057224146</v>
      </c>
      <c r="AI18" s="15">
        <f t="shared" si="13"/>
        <v>7.8185500474481682</v>
      </c>
    </row>
    <row r="19" spans="1:35" x14ac:dyDescent="0.45">
      <c r="A19" s="11" t="s">
        <v>2</v>
      </c>
      <c r="B19" s="11" t="s">
        <v>3</v>
      </c>
      <c r="C19" s="10" t="s">
        <v>4</v>
      </c>
      <c r="D19" t="s">
        <v>63</v>
      </c>
      <c r="E19" t="s">
        <v>54</v>
      </c>
      <c r="F19" t="s">
        <v>45</v>
      </c>
      <c r="G19" s="12">
        <v>1.3017103417089302</v>
      </c>
      <c r="H19" s="21">
        <v>0.23782122861334531</v>
      </c>
      <c r="I19" s="13">
        <f t="shared" si="0"/>
        <v>3095.7435276391534</v>
      </c>
      <c r="J19" s="14">
        <v>206.14146790193053</v>
      </c>
      <c r="K19" s="14">
        <f t="shared" si="1"/>
        <v>268.33648062300244</v>
      </c>
      <c r="L19" s="22">
        <v>30143.327853584178</v>
      </c>
      <c r="M19" s="14">
        <f t="shared" si="2"/>
        <v>39237.881600533372</v>
      </c>
      <c r="N19" s="14">
        <v>126.4075039021272</v>
      </c>
      <c r="O19" s="14">
        <f t="shared" si="3"/>
        <v>164.54595509901094</v>
      </c>
      <c r="P19" s="23">
        <v>4.6353339971285656</v>
      </c>
      <c r="Q19" s="13">
        <f t="shared" si="4"/>
        <v>60.338622013372458</v>
      </c>
      <c r="R19" s="23">
        <v>2.1891932181560629</v>
      </c>
      <c r="S19" s="13">
        <f t="shared" si="5"/>
        <v>28.496954520728014</v>
      </c>
      <c r="T19" s="23">
        <v>34.944476955504335</v>
      </c>
      <c r="U19" s="14">
        <f t="shared" si="6"/>
        <v>45.487587038589389</v>
      </c>
      <c r="V19" s="23">
        <v>12.990809693590313</v>
      </c>
      <c r="W19" s="14">
        <f t="shared" si="7"/>
        <v>16.91027132531913</v>
      </c>
      <c r="X19" s="23">
        <v>88.579290702509354</v>
      </c>
      <c r="Y19" s="14">
        <f t="shared" si="8"/>
        <v>115.30457876869811</v>
      </c>
      <c r="Z19" s="23">
        <v>48.152054857945167</v>
      </c>
      <c r="AA19" s="14">
        <f t="shared" si="9"/>
        <v>62.680027783122959</v>
      </c>
      <c r="AB19" s="24">
        <v>3507.5861145177464</v>
      </c>
      <c r="AC19" s="15">
        <f t="shared" si="10"/>
        <v>4565.8611197023947</v>
      </c>
      <c r="AD19" s="24">
        <v>588.46029614431586</v>
      </c>
      <c r="AE19" s="15">
        <f t="shared" si="11"/>
        <v>766.00485317615573</v>
      </c>
      <c r="AF19" s="24">
        <v>707.36152036525652</v>
      </c>
      <c r="AG19" s="15">
        <f t="shared" si="12"/>
        <v>920.77980638640645</v>
      </c>
      <c r="AH19" s="24">
        <v>6.8519349551050492</v>
      </c>
      <c r="AI19" s="15">
        <f t="shared" si="13"/>
        <v>8.9192345917771565</v>
      </c>
    </row>
    <row r="20" spans="1:35" x14ac:dyDescent="0.45">
      <c r="A20" s="11" t="s">
        <v>2</v>
      </c>
      <c r="B20" s="11" t="s">
        <v>3</v>
      </c>
      <c r="C20" s="10" t="s">
        <v>4</v>
      </c>
      <c r="D20" t="s">
        <v>63</v>
      </c>
      <c r="E20" t="s">
        <v>55</v>
      </c>
      <c r="F20" t="s">
        <v>45</v>
      </c>
      <c r="G20" s="12">
        <v>1.3017103417089302</v>
      </c>
      <c r="H20" s="21">
        <v>0.26211723775437518</v>
      </c>
      <c r="I20" s="13">
        <f t="shared" si="0"/>
        <v>3412.0071912504859</v>
      </c>
      <c r="J20" s="14">
        <v>185.38065687020659</v>
      </c>
      <c r="K20" s="14">
        <f t="shared" si="1"/>
        <v>241.31191820074258</v>
      </c>
      <c r="L20" s="22">
        <v>29513.338407197072</v>
      </c>
      <c r="M20" s="14">
        <f t="shared" si="2"/>
        <v>38417.817823003788</v>
      </c>
      <c r="N20" s="14">
        <v>126.35398005581247</v>
      </c>
      <c r="O20" s="14">
        <f t="shared" si="3"/>
        <v>164.47628255473501</v>
      </c>
      <c r="P20" s="23">
        <v>5.7845405444646083</v>
      </c>
      <c r="Q20" s="13">
        <f t="shared" si="4"/>
        <v>75.297962487641868</v>
      </c>
      <c r="R20" s="23">
        <v>3.0466619237749542</v>
      </c>
      <c r="S20" s="13">
        <f t="shared" si="5"/>
        <v>39.658713338686823</v>
      </c>
      <c r="T20" s="23">
        <v>35.404106135912514</v>
      </c>
      <c r="U20" s="14">
        <f t="shared" si="6"/>
        <v>46.085891096077908</v>
      </c>
      <c r="V20" s="23">
        <v>6.8537498205473764</v>
      </c>
      <c r="W20" s="14">
        <f t="shared" si="7"/>
        <v>8.9215970208922446</v>
      </c>
      <c r="X20" s="23">
        <v>133.95435287563447</v>
      </c>
      <c r="Y20" s="14">
        <f t="shared" si="8"/>
        <v>174.36976645514076</v>
      </c>
      <c r="Z20" s="23">
        <v>61.37265619449019</v>
      </c>
      <c r="AA20" s="14">
        <f t="shared" si="9"/>
        <v>79.889421266514532</v>
      </c>
      <c r="AB20" s="24">
        <v>3596.5337288845449</v>
      </c>
      <c r="AC20" s="15">
        <f t="shared" si="10"/>
        <v>4681.6451491939933</v>
      </c>
      <c r="AD20" s="24">
        <v>722.47375401368129</v>
      </c>
      <c r="AE20" s="15">
        <f t="shared" si="11"/>
        <v>940.45155721288268</v>
      </c>
      <c r="AF20" s="24">
        <v>587.87590395085851</v>
      </c>
      <c r="AG20" s="15">
        <f t="shared" si="12"/>
        <v>765.24414381431825</v>
      </c>
      <c r="AH20" s="24">
        <v>10.490714784308249</v>
      </c>
      <c r="AI20" s="15">
        <f t="shared" si="13"/>
        <v>13.655871926652818</v>
      </c>
    </row>
    <row r="21" spans="1:35" x14ac:dyDescent="0.45">
      <c r="A21" s="11" t="s">
        <v>2</v>
      </c>
      <c r="B21" s="11" t="s">
        <v>3</v>
      </c>
      <c r="C21" s="10" t="s">
        <v>4</v>
      </c>
      <c r="D21" t="s">
        <v>63</v>
      </c>
      <c r="E21" t="s">
        <v>56</v>
      </c>
      <c r="F21" t="s">
        <v>45</v>
      </c>
      <c r="G21" s="12">
        <v>1.3017103417089302</v>
      </c>
      <c r="H21" s="21">
        <v>0.22607282013679741</v>
      </c>
      <c r="I21" s="13">
        <f t="shared" si="0"/>
        <v>2942.8132795137208</v>
      </c>
      <c r="J21" s="14">
        <v>163.0431405194673</v>
      </c>
      <c r="K21" s="14">
        <f t="shared" si="1"/>
        <v>212.23494215889289</v>
      </c>
      <c r="L21" s="22">
        <v>30222.630925559792</v>
      </c>
      <c r="M21" s="14">
        <f t="shared" si="2"/>
        <v>39341.111229453316</v>
      </c>
      <c r="N21" s="14">
        <v>123.27652088057283</v>
      </c>
      <c r="O21" s="14">
        <f t="shared" si="3"/>
        <v>160.47032212013852</v>
      </c>
      <c r="P21" s="23">
        <v>4.9298399999999996</v>
      </c>
      <c r="Q21" s="13">
        <f t="shared" si="4"/>
        <v>64.172237109703516</v>
      </c>
      <c r="R21" s="23">
        <v>2.330844853556485</v>
      </c>
      <c r="S21" s="13">
        <f t="shared" si="5"/>
        <v>30.340848507935135</v>
      </c>
      <c r="T21" s="23">
        <v>34.181966664858173</v>
      </c>
      <c r="U21" s="14">
        <f t="shared" si="6"/>
        <v>44.495019507595792</v>
      </c>
      <c r="V21" s="23">
        <v>9.0409155275673676</v>
      </c>
      <c r="W21" s="14">
        <f t="shared" si="7"/>
        <v>11.768653240751291</v>
      </c>
      <c r="X21" s="23">
        <v>88.248305115759024</v>
      </c>
      <c r="Y21" s="14">
        <f t="shared" si="8"/>
        <v>114.87373140746861</v>
      </c>
      <c r="Z21" s="23">
        <v>34.318785322795179</v>
      </c>
      <c r="AA21" s="14">
        <f t="shared" si="9"/>
        <v>44.673117769571135</v>
      </c>
      <c r="AB21" s="24">
        <v>3545.2562761506279</v>
      </c>
      <c r="AC21" s="15">
        <f t="shared" si="10"/>
        <v>4614.8967586737635</v>
      </c>
      <c r="AD21" s="24">
        <v>586.08292565175418</v>
      </c>
      <c r="AE21" s="15">
        <f t="shared" si="11"/>
        <v>762.91020541991452</v>
      </c>
      <c r="AF21" s="24">
        <v>670.37573221757327</v>
      </c>
      <c r="AG21" s="15">
        <f t="shared" si="12"/>
        <v>872.63502345831159</v>
      </c>
      <c r="AH21" s="24">
        <v>11.305152880592212</v>
      </c>
      <c r="AI21" s="15">
        <f t="shared" si="13"/>
        <v>14.716034419267384</v>
      </c>
    </row>
    <row r="22" spans="1:35" x14ac:dyDescent="0.45">
      <c r="A22" s="11" t="s">
        <v>2</v>
      </c>
      <c r="B22" s="11" t="s">
        <v>3</v>
      </c>
      <c r="C22" s="10" t="s">
        <v>4</v>
      </c>
      <c r="D22" t="s">
        <v>63</v>
      </c>
      <c r="E22" t="s">
        <v>57</v>
      </c>
      <c r="F22" t="s">
        <v>45</v>
      </c>
      <c r="G22" s="12">
        <v>1.3017103417089302</v>
      </c>
      <c r="H22" s="21">
        <v>0.23849851465651328</v>
      </c>
      <c r="I22" s="13">
        <f t="shared" si="0"/>
        <v>3104.5598301060222</v>
      </c>
      <c r="J22" s="14">
        <v>162.11096675956554</v>
      </c>
      <c r="K22" s="14">
        <f t="shared" si="1"/>
        <v>211.02152193535909</v>
      </c>
      <c r="L22" s="22">
        <v>28442.223509312993</v>
      </c>
      <c r="M22" s="14">
        <f t="shared" si="2"/>
        <v>37023.536483269585</v>
      </c>
      <c r="N22" s="14">
        <v>123.2819926854181</v>
      </c>
      <c r="O22" s="14">
        <f t="shared" si="3"/>
        <v>160.47744482509344</v>
      </c>
      <c r="P22" s="23">
        <v>4.743541617768221</v>
      </c>
      <c r="Q22" s="13">
        <f t="shared" si="4"/>
        <v>61.747171801756025</v>
      </c>
      <c r="R22" s="23">
        <v>2.3769156479489353</v>
      </c>
      <c r="S22" s="13">
        <f t="shared" si="5"/>
        <v>30.940556803049116</v>
      </c>
      <c r="T22" s="23">
        <v>36.018980114468505</v>
      </c>
      <c r="U22" s="14">
        <f t="shared" si="6"/>
        <v>46.88627891281196</v>
      </c>
      <c r="V22" s="23">
        <v>10.690974039173163</v>
      </c>
      <c r="W22" s="14">
        <f t="shared" si="7"/>
        <v>13.916551469733401</v>
      </c>
      <c r="X22" s="23">
        <v>95.244995946305906</v>
      </c>
      <c r="Y22" s="14">
        <f t="shared" si="8"/>
        <v>123.98139621933153</v>
      </c>
      <c r="Z22" s="23">
        <v>51.517579598163302</v>
      </c>
      <c r="AA22" s="14">
        <f t="shared" si="9"/>
        <v>67.06096614274216</v>
      </c>
      <c r="AB22" s="24">
        <v>3714.5738048033145</v>
      </c>
      <c r="AC22" s="15">
        <f t="shared" si="10"/>
        <v>4835.2991367535642</v>
      </c>
      <c r="AD22" s="24">
        <v>669.85804624015441</v>
      </c>
      <c r="AE22" s="15">
        <f t="shared" si="11"/>
        <v>871.96114626774772</v>
      </c>
      <c r="AF22" s="24">
        <v>718.21953344950509</v>
      </c>
      <c r="AG22" s="15">
        <f t="shared" si="12"/>
        <v>934.91379430858376</v>
      </c>
      <c r="AH22" s="24">
        <v>9.713456154388723</v>
      </c>
      <c r="AI22" s="15">
        <f t="shared" si="13"/>
        <v>12.644106329904055</v>
      </c>
    </row>
    <row r="23" spans="1:35" x14ac:dyDescent="0.45">
      <c r="A23" s="11" t="s">
        <v>2</v>
      </c>
      <c r="B23" s="11" t="s">
        <v>3</v>
      </c>
      <c r="C23" s="10" t="s">
        <v>4</v>
      </c>
      <c r="D23" t="s">
        <v>63</v>
      </c>
      <c r="E23" t="s">
        <v>51</v>
      </c>
      <c r="F23" t="s">
        <v>46</v>
      </c>
      <c r="G23" s="12">
        <v>1.3017103417089302</v>
      </c>
      <c r="H23" s="21">
        <v>0.133674430700402</v>
      </c>
      <c r="I23" s="13">
        <f t="shared" si="0"/>
        <v>1740.0538886476697</v>
      </c>
      <c r="J23" s="14">
        <v>150.5370151349953</v>
      </c>
      <c r="K23" s="14">
        <f t="shared" si="1"/>
        <v>195.95558941121712</v>
      </c>
      <c r="L23" s="22">
        <v>27096.662724299153</v>
      </c>
      <c r="M23" s="14">
        <f t="shared" si="2"/>
        <v>35272.006094019082</v>
      </c>
      <c r="N23" s="14">
        <v>102.94789422135165</v>
      </c>
      <c r="O23" s="14">
        <f t="shared" si="3"/>
        <v>134.00833856509044</v>
      </c>
      <c r="P23" s="23">
        <v>4.1282105582762005</v>
      </c>
      <c r="Q23" s="13">
        <f t="shared" si="4"/>
        <v>53.737343764601263</v>
      </c>
      <c r="R23" s="23">
        <v>1.2456695200783547</v>
      </c>
      <c r="S23" s="13">
        <f t="shared" si="5"/>
        <v>16.215008966375944</v>
      </c>
      <c r="T23" s="23">
        <v>14.037438990306846</v>
      </c>
      <c r="U23" s="14">
        <f t="shared" si="6"/>
        <v>18.272679504790585</v>
      </c>
      <c r="V23" s="23">
        <v>4.3575312453902928</v>
      </c>
      <c r="W23" s="14">
        <f t="shared" si="7"/>
        <v>5.6722434864443381</v>
      </c>
      <c r="X23" s="23">
        <v>23.210921465937997</v>
      </c>
      <c r="Y23" s="14">
        <f t="shared" si="8"/>
        <v>30.213896512805295</v>
      </c>
      <c r="Z23" s="23">
        <v>3.0609951030258431</v>
      </c>
      <c r="AA23" s="14">
        <f t="shared" si="9"/>
        <v>3.9845289815291323</v>
      </c>
      <c r="AB23" s="24">
        <v>2931.9963991473182</v>
      </c>
      <c r="AC23" s="15">
        <f t="shared" si="10"/>
        <v>3816.6100346234089</v>
      </c>
      <c r="AD23" s="24">
        <v>215.98871924871816</v>
      </c>
      <c r="AE23" s="15">
        <f t="shared" si="11"/>
        <v>281.15474953852311</v>
      </c>
      <c r="AF23" s="24">
        <v>496.57219565593141</v>
      </c>
      <c r="AG23" s="15">
        <f t="shared" si="12"/>
        <v>646.39316249043623</v>
      </c>
      <c r="AH23" s="24">
        <v>11.304082502736648</v>
      </c>
      <c r="AI23" s="15">
        <f t="shared" si="13"/>
        <v>14.714641097343261</v>
      </c>
    </row>
    <row r="24" spans="1:35" x14ac:dyDescent="0.45">
      <c r="A24" s="11" t="s">
        <v>2</v>
      </c>
      <c r="B24" s="11" t="s">
        <v>3</v>
      </c>
      <c r="C24" s="10" t="s">
        <v>4</v>
      </c>
      <c r="D24" t="s">
        <v>63</v>
      </c>
      <c r="E24" t="s">
        <v>52</v>
      </c>
      <c r="F24" t="s">
        <v>46</v>
      </c>
      <c r="G24" s="12">
        <v>1.3017103417089302</v>
      </c>
      <c r="H24" s="21">
        <v>0.15069804258409819</v>
      </c>
      <c r="I24" s="13">
        <f t="shared" si="0"/>
        <v>1961.6520050701336</v>
      </c>
      <c r="J24" s="14">
        <v>132.92436927711739</v>
      </c>
      <c r="K24" s="14">
        <f t="shared" si="1"/>
        <v>173.02902615316052</v>
      </c>
      <c r="L24" s="22">
        <v>27989.004516801477</v>
      </c>
      <c r="M24" s="14">
        <f t="shared" si="2"/>
        <v>36433.576633658442</v>
      </c>
      <c r="N24" s="14">
        <v>111.39436580265469</v>
      </c>
      <c r="O24" s="14">
        <f t="shared" si="3"/>
        <v>145.00319797342323</v>
      </c>
      <c r="P24" s="23">
        <v>4.2782176295394025</v>
      </c>
      <c r="Q24" s="13">
        <f t="shared" si="4"/>
        <v>55.690001324529049</v>
      </c>
      <c r="R24" s="23">
        <v>1.4671106019763418</v>
      </c>
      <c r="S24" s="13">
        <f t="shared" si="5"/>
        <v>19.09753043023418</v>
      </c>
      <c r="T24" s="23">
        <v>22.167144209376577</v>
      </c>
      <c r="U24" s="14">
        <f t="shared" si="6"/>
        <v>28.855200863498716</v>
      </c>
      <c r="V24" s="23">
        <v>3.4672332009601172</v>
      </c>
      <c r="W24" s="14">
        <f t="shared" si="7"/>
        <v>4.5133333148063421</v>
      </c>
      <c r="X24" s="23">
        <v>55.995343820410405</v>
      </c>
      <c r="Y24" s="14">
        <f t="shared" si="8"/>
        <v>72.889718138575461</v>
      </c>
      <c r="Z24" s="23">
        <v>18.290363697707868</v>
      </c>
      <c r="AA24" s="14">
        <f t="shared" si="9"/>
        <v>23.808755578923922</v>
      </c>
      <c r="AB24" s="24">
        <v>2711.7305518498683</v>
      </c>
      <c r="AC24" s="15">
        <f t="shared" si="10"/>
        <v>3529.8877032710379</v>
      </c>
      <c r="AD24" s="24">
        <v>394.2872315746099</v>
      </c>
      <c r="AE24" s="15">
        <f t="shared" si="11"/>
        <v>513.24776694445359</v>
      </c>
      <c r="AF24" s="24">
        <v>519.01074360331313</v>
      </c>
      <c r="AG24" s="15">
        <f t="shared" si="12"/>
        <v>675.60165240647473</v>
      </c>
      <c r="AH24" s="24">
        <v>4.3049728345391083</v>
      </c>
      <c r="AI24" s="15">
        <f t="shared" si="13"/>
        <v>5.6038276594955638</v>
      </c>
    </row>
    <row r="25" spans="1:35" x14ac:dyDescent="0.45">
      <c r="A25" s="11" t="s">
        <v>2</v>
      </c>
      <c r="B25" s="11" t="s">
        <v>3</v>
      </c>
      <c r="C25" s="10" t="s">
        <v>4</v>
      </c>
      <c r="D25" t="s">
        <v>63</v>
      </c>
      <c r="E25" t="s">
        <v>53</v>
      </c>
      <c r="F25" t="s">
        <v>46</v>
      </c>
      <c r="G25" s="12">
        <v>1.3017103417089302</v>
      </c>
      <c r="H25" s="21">
        <v>0.20460407217919532</v>
      </c>
      <c r="I25" s="13">
        <f t="shared" si="0"/>
        <v>2663.3523671141893</v>
      </c>
      <c r="J25" s="14">
        <v>190.15481105527877</v>
      </c>
      <c r="K25" s="14">
        <f t="shared" si="1"/>
        <v>247.52648407636397</v>
      </c>
      <c r="L25" s="22">
        <v>28932.156735830053</v>
      </c>
      <c r="M25" s="14">
        <f t="shared" si="2"/>
        <v>37661.28763097366</v>
      </c>
      <c r="N25" s="14">
        <v>113.47948401685993</v>
      </c>
      <c r="O25" s="14">
        <f t="shared" si="3"/>
        <v>147.71741791653983</v>
      </c>
      <c r="P25" s="23">
        <v>4.8041120400083166</v>
      </c>
      <c r="Q25" s="13">
        <f t="shared" si="4"/>
        <v>62.535623252072121</v>
      </c>
      <c r="R25" s="23">
        <v>2.092778420861992</v>
      </c>
      <c r="S25" s="13">
        <f t="shared" si="5"/>
        <v>27.241913133413387</v>
      </c>
      <c r="T25" s="23">
        <v>24.047735219213067</v>
      </c>
      <c r="U25" s="14">
        <f t="shared" si="6"/>
        <v>31.303185629527718</v>
      </c>
      <c r="V25" s="23">
        <v>12.408011938750152</v>
      </c>
      <c r="W25" s="14">
        <f t="shared" si="7"/>
        <v>16.151637460718945</v>
      </c>
      <c r="X25" s="23">
        <v>90.811965767007038</v>
      </c>
      <c r="Y25" s="14">
        <f t="shared" si="8"/>
        <v>118.2108749898304</v>
      </c>
      <c r="Z25" s="23">
        <v>40.456032352473784</v>
      </c>
      <c r="AA25" s="14">
        <f t="shared" si="9"/>
        <v>52.662035697726182</v>
      </c>
      <c r="AB25" s="24">
        <v>3022.294361685183</v>
      </c>
      <c r="AC25" s="15">
        <f t="shared" si="10"/>
        <v>3934.1518262941927</v>
      </c>
      <c r="AD25" s="24">
        <v>594.36001195688425</v>
      </c>
      <c r="AE25" s="15">
        <f t="shared" si="11"/>
        <v>773.68457426251962</v>
      </c>
      <c r="AF25" s="24">
        <v>623.81502139899533</v>
      </c>
      <c r="AG25" s="15">
        <f t="shared" si="12"/>
        <v>812.02646466844976</v>
      </c>
      <c r="AH25" s="24">
        <v>4.2814960153354322</v>
      </c>
      <c r="AI25" s="15">
        <f t="shared" si="13"/>
        <v>5.5732676411477087</v>
      </c>
    </row>
    <row r="26" spans="1:35" x14ac:dyDescent="0.45">
      <c r="A26" s="11" t="s">
        <v>2</v>
      </c>
      <c r="B26" s="11" t="s">
        <v>3</v>
      </c>
      <c r="C26" s="10" t="s">
        <v>4</v>
      </c>
      <c r="D26" t="s">
        <v>63</v>
      </c>
      <c r="E26" t="s">
        <v>54</v>
      </c>
      <c r="F26" t="s">
        <v>46</v>
      </c>
      <c r="G26" s="12">
        <v>1.3017103417089302</v>
      </c>
      <c r="H26" s="21">
        <v>0.18956766874281006</v>
      </c>
      <c r="I26" s="13">
        <f t="shared" si="0"/>
        <v>2467.6219485616857</v>
      </c>
      <c r="J26" s="14">
        <v>225.30044105150995</v>
      </c>
      <c r="K26" s="14">
        <f t="shared" si="1"/>
        <v>293.27591410833372</v>
      </c>
      <c r="L26" s="22">
        <v>30299.024831065133</v>
      </c>
      <c r="M26" s="14">
        <f t="shared" si="2"/>
        <v>39440.553966293162</v>
      </c>
      <c r="N26" s="14">
        <v>133.04379493127959</v>
      </c>
      <c r="O26" s="14">
        <f t="shared" si="3"/>
        <v>173.18448376224879</v>
      </c>
      <c r="P26" s="23">
        <v>3.7055804480651733</v>
      </c>
      <c r="Q26" s="13">
        <f t="shared" si="4"/>
        <v>48.235923912808474</v>
      </c>
      <c r="R26" s="23">
        <v>1.9092464358452139</v>
      </c>
      <c r="S26" s="13">
        <f t="shared" si="5"/>
        <v>24.852858304106302</v>
      </c>
      <c r="T26" s="23">
        <v>23.7458414690071</v>
      </c>
      <c r="U26" s="14">
        <f t="shared" si="6"/>
        <v>30.910207412787319</v>
      </c>
      <c r="V26" s="23">
        <v>221.23317739352339</v>
      </c>
      <c r="W26" s="14">
        <f t="shared" si="7"/>
        <v>287.98151494227568</v>
      </c>
      <c r="X26" s="23">
        <v>129.85141991187251</v>
      </c>
      <c r="Y26" s="14">
        <f t="shared" si="8"/>
        <v>169.02893618487334</v>
      </c>
      <c r="Z26" s="23">
        <v>29.276286279404239</v>
      </c>
      <c r="AA26" s="14">
        <f t="shared" si="9"/>
        <v>38.109244616731758</v>
      </c>
      <c r="AB26" s="24">
        <v>2794.0453269334148</v>
      </c>
      <c r="AC26" s="15">
        <f t="shared" si="10"/>
        <v>3637.0376972727349</v>
      </c>
      <c r="AD26" s="24">
        <v>655.7242907489491</v>
      </c>
      <c r="AE26" s="15">
        <f t="shared" si="11"/>
        <v>853.56309057766043</v>
      </c>
      <c r="AF26" s="24">
        <v>630.97997789049816</v>
      </c>
      <c r="AG26" s="15">
        <f t="shared" si="12"/>
        <v>821.35316263133359</v>
      </c>
      <c r="AH26" s="24">
        <v>10.103927750534121</v>
      </c>
      <c r="AI26" s="15">
        <f t="shared" si="13"/>
        <v>13.152387244750113</v>
      </c>
    </row>
    <row r="27" spans="1:35" x14ac:dyDescent="0.45">
      <c r="A27" s="11" t="s">
        <v>2</v>
      </c>
      <c r="B27" s="11" t="s">
        <v>3</v>
      </c>
      <c r="C27" s="10" t="s">
        <v>4</v>
      </c>
      <c r="D27" t="s">
        <v>63</v>
      </c>
      <c r="E27" t="s">
        <v>55</v>
      </c>
      <c r="F27" t="s">
        <v>46</v>
      </c>
      <c r="G27" s="12">
        <v>1.3017103417089302</v>
      </c>
      <c r="H27" s="21">
        <v>0.20216631815228309</v>
      </c>
      <c r="I27" s="13">
        <f t="shared" si="0"/>
        <v>2631.6198708404472</v>
      </c>
      <c r="J27" s="14">
        <v>185.21224285984863</v>
      </c>
      <c r="K27" s="14">
        <f t="shared" si="1"/>
        <v>241.09269194177094</v>
      </c>
      <c r="L27" s="22">
        <v>31619.106653974155</v>
      </c>
      <c r="M27" s="14">
        <f t="shared" si="2"/>
        <v>41158.918127075805</v>
      </c>
      <c r="N27" s="14">
        <v>121.76937513990048</v>
      </c>
      <c r="O27" s="14">
        <f t="shared" si="3"/>
        <v>158.50845492304273</v>
      </c>
      <c r="P27" s="23">
        <v>4.1394567901234565</v>
      </c>
      <c r="Q27" s="13">
        <f t="shared" si="4"/>
        <v>53.883737127609557</v>
      </c>
      <c r="R27" s="23">
        <v>2.0645925925925925</v>
      </c>
      <c r="S27" s="13">
        <f t="shared" si="5"/>
        <v>26.875015291934297</v>
      </c>
      <c r="T27" s="23">
        <v>21.192476756591986</v>
      </c>
      <c r="U27" s="14">
        <f t="shared" si="6"/>
        <v>27.586466160481915</v>
      </c>
      <c r="V27" s="23">
        <v>6.2618614290685448</v>
      </c>
      <c r="W27" s="14">
        <f t="shared" si="7"/>
        <v>8.1511297805667855</v>
      </c>
      <c r="X27" s="23">
        <v>50.55607598951741</v>
      </c>
      <c r="Y27" s="14">
        <f t="shared" si="8"/>
        <v>65.809366951777349</v>
      </c>
      <c r="Z27" s="23">
        <v>16.674383870858467</v>
      </c>
      <c r="AA27" s="14">
        <f t="shared" si="9"/>
        <v>21.705217926321048</v>
      </c>
      <c r="AB27" s="24">
        <v>3807.235807235807</v>
      </c>
      <c r="AC27" s="15">
        <f t="shared" si="10"/>
        <v>4955.9182236033976</v>
      </c>
      <c r="AD27" s="24">
        <v>456.07512274178941</v>
      </c>
      <c r="AE27" s="15">
        <f t="shared" si="11"/>
        <v>593.67770386915697</v>
      </c>
      <c r="AF27" s="24">
        <v>504.65703799037141</v>
      </c>
      <c r="AG27" s="15">
        <f t="shared" si="12"/>
        <v>656.91728536826292</v>
      </c>
      <c r="AH27" s="24">
        <v>14.277134277134278</v>
      </c>
      <c r="AI27" s="15">
        <f t="shared" si="13"/>
        <v>18.584693338512739</v>
      </c>
    </row>
    <row r="28" spans="1:35" x14ac:dyDescent="0.45">
      <c r="A28" s="11" t="s">
        <v>2</v>
      </c>
      <c r="B28" s="11" t="s">
        <v>3</v>
      </c>
      <c r="C28" s="10" t="s">
        <v>4</v>
      </c>
      <c r="D28" t="s">
        <v>63</v>
      </c>
      <c r="E28" t="s">
        <v>56</v>
      </c>
      <c r="F28" t="s">
        <v>46</v>
      </c>
      <c r="G28" s="12">
        <v>1.3017103417089302</v>
      </c>
      <c r="H28" s="21">
        <v>0.19708502391840382</v>
      </c>
      <c r="I28" s="13">
        <f t="shared" si="0"/>
        <v>2565.476138305381</v>
      </c>
      <c r="J28" s="14">
        <v>188.83697426207098</v>
      </c>
      <c r="K28" s="14">
        <f t="shared" si="1"/>
        <v>245.81104229396087</v>
      </c>
      <c r="L28" s="22">
        <v>31772.570272665904</v>
      </c>
      <c r="M28" s="14">
        <f t="shared" si="2"/>
        <v>41358.683306602928</v>
      </c>
      <c r="N28" s="14">
        <v>129.88786589454614</v>
      </c>
      <c r="O28" s="14">
        <f t="shared" si="3"/>
        <v>169.07637829743334</v>
      </c>
      <c r="P28" s="23">
        <v>4.1743761996161242</v>
      </c>
      <c r="Q28" s="13">
        <f t="shared" si="4"/>
        <v>54.338286692239301</v>
      </c>
      <c r="R28" s="23">
        <v>2.2469481765834938</v>
      </c>
      <c r="S28" s="13">
        <f t="shared" si="5"/>
        <v>29.248756787427574</v>
      </c>
      <c r="T28" s="23">
        <v>33.100022199090681</v>
      </c>
      <c r="U28" s="14">
        <f t="shared" si="6"/>
        <v>43.086641207351505</v>
      </c>
      <c r="V28" s="23">
        <v>311.39237665519681</v>
      </c>
      <c r="W28" s="14">
        <f t="shared" si="7"/>
        <v>405.34267702139215</v>
      </c>
      <c r="X28" s="23">
        <v>48.437251906341167</v>
      </c>
      <c r="Y28" s="14">
        <f t="shared" si="8"/>
        <v>63.051271730444896</v>
      </c>
      <c r="Z28" s="23">
        <v>2.6111726095062617</v>
      </c>
      <c r="AA28" s="14">
        <f t="shared" si="9"/>
        <v>3.3989903897813951</v>
      </c>
      <c r="AB28" s="24">
        <v>3046.9899267270966</v>
      </c>
      <c r="AC28" s="15">
        <f t="shared" si="10"/>
        <v>3966.2982987035971</v>
      </c>
      <c r="AD28" s="24">
        <v>705.32174229793918</v>
      </c>
      <c r="AE28" s="15">
        <f t="shared" si="11"/>
        <v>918.12460618138834</v>
      </c>
      <c r="AF28" s="24">
        <v>678.04930159575213</v>
      </c>
      <c r="AG28" s="15">
        <f t="shared" si="12"/>
        <v>882.62378807570803</v>
      </c>
      <c r="AH28" s="24">
        <v>11.09706207882091</v>
      </c>
      <c r="AI28" s="15">
        <f t="shared" si="13"/>
        <v>14.445160470587179</v>
      </c>
    </row>
    <row r="29" spans="1:35" x14ac:dyDescent="0.45">
      <c r="A29" s="11" t="s">
        <v>2</v>
      </c>
      <c r="B29" s="11" t="s">
        <v>3</v>
      </c>
      <c r="C29" s="10" t="s">
        <v>4</v>
      </c>
      <c r="D29" t="s">
        <v>63</v>
      </c>
      <c r="E29" t="s">
        <v>57</v>
      </c>
      <c r="F29" t="s">
        <v>46</v>
      </c>
      <c r="G29" s="12">
        <v>1.3017103417089302</v>
      </c>
      <c r="H29" s="21">
        <v>0.167204500531005</v>
      </c>
      <c r="I29" s="13">
        <f t="shared" si="0"/>
        <v>2176.5182752148553</v>
      </c>
      <c r="J29" s="14">
        <v>167.37713809343853</v>
      </c>
      <c r="K29" s="14">
        <f t="shared" si="1"/>
        <v>217.87655162187266</v>
      </c>
      <c r="L29" s="22">
        <v>31753.834198298053</v>
      </c>
      <c r="M29" s="14">
        <f t="shared" si="2"/>
        <v>41334.294364835274</v>
      </c>
      <c r="N29" s="14">
        <v>119.55509863817038</v>
      </c>
      <c r="O29" s="14">
        <f t="shared" si="3"/>
        <v>155.62610830133764</v>
      </c>
      <c r="P29" s="23">
        <v>4.0129080127441208</v>
      </c>
      <c r="Q29" s="13">
        <f t="shared" si="4"/>
        <v>52.236438605156536</v>
      </c>
      <c r="R29" s="23">
        <v>1.7664964025565721</v>
      </c>
      <c r="S29" s="13">
        <f t="shared" si="5"/>
        <v>22.994666357995115</v>
      </c>
      <c r="T29" s="23">
        <v>18.548187871115417</v>
      </c>
      <c r="U29" s="14">
        <f t="shared" si="6"/>
        <v>24.144367971791084</v>
      </c>
      <c r="V29" s="23">
        <v>30.561101141049189</v>
      </c>
      <c r="W29" s="14">
        <f t="shared" si="7"/>
        <v>39.781701409316319</v>
      </c>
      <c r="X29" s="23">
        <v>57.31712431479955</v>
      </c>
      <c r="Y29" s="14">
        <f t="shared" si="8"/>
        <v>74.610293477590943</v>
      </c>
      <c r="Z29" s="23">
        <v>22.840507587347869</v>
      </c>
      <c r="AA29" s="14">
        <f t="shared" si="9"/>
        <v>29.731724936332007</v>
      </c>
      <c r="AB29" s="24">
        <v>3477.5068236608272</v>
      </c>
      <c r="AC29" s="15">
        <f t="shared" si="10"/>
        <v>4526.7065957226714</v>
      </c>
      <c r="AD29" s="24">
        <v>488.39223257508013</v>
      </c>
      <c r="AE29" s="15">
        <f t="shared" si="11"/>
        <v>635.74521995329485</v>
      </c>
      <c r="AF29" s="24">
        <v>664.67581948087832</v>
      </c>
      <c r="AG29" s="15">
        <f t="shared" si="12"/>
        <v>865.21538810211734</v>
      </c>
      <c r="AH29" s="24">
        <v>12.715537416155934</v>
      </c>
      <c r="AI29" s="15">
        <f t="shared" si="13"/>
        <v>16.551946554997027</v>
      </c>
    </row>
    <row r="30" spans="1:35" x14ac:dyDescent="0.45">
      <c r="A30" s="11" t="s">
        <v>2</v>
      </c>
      <c r="B30" s="11" t="s">
        <v>3</v>
      </c>
      <c r="C30" s="10" t="s">
        <v>4</v>
      </c>
      <c r="D30" t="s">
        <v>63</v>
      </c>
      <c r="E30" t="s">
        <v>51</v>
      </c>
      <c r="F30" t="s">
        <v>47</v>
      </c>
      <c r="G30" s="12">
        <v>1.3017103417089302</v>
      </c>
      <c r="H30" s="21">
        <v>0.1235534605120938</v>
      </c>
      <c r="I30" s="13">
        <f t="shared" si="0"/>
        <v>1608.3081730251843</v>
      </c>
      <c r="J30" s="14">
        <v>139.48365078186359</v>
      </c>
      <c r="K30" s="14">
        <f t="shared" si="1"/>
        <v>181.56731072206873</v>
      </c>
      <c r="L30" s="22">
        <v>29490.829022451158</v>
      </c>
      <c r="M30" s="14">
        <f t="shared" si="2"/>
        <v>38388.517124094535</v>
      </c>
      <c r="N30" s="14">
        <v>115.57216779068695</v>
      </c>
      <c r="O30" s="14">
        <f t="shared" si="3"/>
        <v>150.44148602685692</v>
      </c>
      <c r="P30" s="23">
        <v>3.802031404646959</v>
      </c>
      <c r="Q30" s="13">
        <f t="shared" si="4"/>
        <v>49.491435989310766</v>
      </c>
      <c r="R30" s="23">
        <v>1.1272869393831955</v>
      </c>
      <c r="S30" s="13">
        <f t="shared" si="5"/>
        <v>14.674010670685133</v>
      </c>
      <c r="T30" s="23">
        <v>11.796788244538673</v>
      </c>
      <c r="U30" s="14">
        <f t="shared" si="6"/>
        <v>15.356001256866326</v>
      </c>
      <c r="V30" s="23">
        <v>171.80329490886507</v>
      </c>
      <c r="W30" s="14">
        <f t="shared" si="7"/>
        <v>223.63812572253886</v>
      </c>
      <c r="X30" s="23">
        <v>42.824926146315754</v>
      </c>
      <c r="Y30" s="14">
        <f t="shared" si="8"/>
        <v>55.745649247580381</v>
      </c>
      <c r="Z30" s="23">
        <v>6.3985594057672612</v>
      </c>
      <c r="AA30" s="14">
        <f t="shared" si="9"/>
        <v>8.3290709505261908</v>
      </c>
      <c r="AB30" s="24">
        <v>2964.9053102672096</v>
      </c>
      <c r="AC30" s="15">
        <f t="shared" si="10"/>
        <v>3859.4479045625512</v>
      </c>
      <c r="AD30" s="24">
        <v>319.49843736529067</v>
      </c>
      <c r="AE30" s="15">
        <f t="shared" si="11"/>
        <v>415.89442007824175</v>
      </c>
      <c r="AF30" s="24">
        <v>504.36545772759717</v>
      </c>
      <c r="AG30" s="15">
        <f t="shared" si="12"/>
        <v>656.53773232477147</v>
      </c>
      <c r="AH30" s="24">
        <v>12.257487219674672</v>
      </c>
      <c r="AI30" s="15">
        <f t="shared" si="13"/>
        <v>15.955697877215563</v>
      </c>
    </row>
    <row r="31" spans="1:35" x14ac:dyDescent="0.45">
      <c r="A31" s="11" t="s">
        <v>2</v>
      </c>
      <c r="B31" s="11" t="s">
        <v>3</v>
      </c>
      <c r="C31" s="10" t="s">
        <v>4</v>
      </c>
      <c r="D31" t="s">
        <v>63</v>
      </c>
      <c r="E31" t="s">
        <v>52</v>
      </c>
      <c r="F31" t="s">
        <v>47</v>
      </c>
      <c r="G31" s="12">
        <v>1.3017103417089302</v>
      </c>
      <c r="H31" s="21">
        <v>0.21430712563865942</v>
      </c>
      <c r="I31" s="13">
        <f t="shared" si="0"/>
        <v>2789.6580174575797</v>
      </c>
      <c r="J31" s="14">
        <v>164.5529410341814</v>
      </c>
      <c r="K31" s="14">
        <f t="shared" si="1"/>
        <v>214.20026510281372</v>
      </c>
      <c r="L31" s="22">
        <v>28194.741725978645</v>
      </c>
      <c r="M31" s="14">
        <f t="shared" si="2"/>
        <v>36701.386886518689</v>
      </c>
      <c r="N31" s="14">
        <v>115.38773304226133</v>
      </c>
      <c r="O31" s="14">
        <f t="shared" si="3"/>
        <v>150.20140540746081</v>
      </c>
      <c r="P31" s="23">
        <v>5.3479705836108948</v>
      </c>
      <c r="Q31" s="13">
        <f t="shared" si="4"/>
        <v>69.615086158414442</v>
      </c>
      <c r="R31" s="23">
        <v>1.9746352924101767</v>
      </c>
      <c r="S31" s="13">
        <f t="shared" si="5"/>
        <v>25.704031812337643</v>
      </c>
      <c r="T31" s="23">
        <v>24.153345482833295</v>
      </c>
      <c r="U31" s="14">
        <f t="shared" si="6"/>
        <v>31.440659601872774</v>
      </c>
      <c r="V31" s="23">
        <v>6.8560702472246122</v>
      </c>
      <c r="W31" s="14">
        <f t="shared" si="7"/>
        <v>8.9246175442951792</v>
      </c>
      <c r="X31" s="23">
        <v>70.247513406087108</v>
      </c>
      <c r="Y31" s="14">
        <f t="shared" si="8"/>
        <v>91.441914680040298</v>
      </c>
      <c r="Z31" s="23">
        <v>25.392852767498564</v>
      </c>
      <c r="AA31" s="14">
        <f t="shared" si="9"/>
        <v>33.054139052945111</v>
      </c>
      <c r="AB31" s="24">
        <v>3422.2394178090917</v>
      </c>
      <c r="AC31" s="15">
        <f t="shared" si="10"/>
        <v>4454.7644419660437</v>
      </c>
      <c r="AD31" s="24">
        <v>489.04126608372786</v>
      </c>
      <c r="AE31" s="15">
        <f t="shared" si="11"/>
        <v>636.59007358361725</v>
      </c>
      <c r="AF31" s="24">
        <v>562.50240047398745</v>
      </c>
      <c r="AG31" s="15">
        <f t="shared" si="12"/>
        <v>732.21519193308768</v>
      </c>
      <c r="AH31" s="24">
        <v>6.5380409607331007</v>
      </c>
      <c r="AI31" s="15">
        <f t="shared" si="13"/>
        <v>8.5106355331028656</v>
      </c>
    </row>
    <row r="32" spans="1:35" x14ac:dyDescent="0.45">
      <c r="A32" s="11" t="s">
        <v>2</v>
      </c>
      <c r="B32" s="11" t="s">
        <v>3</v>
      </c>
      <c r="C32" s="10" t="s">
        <v>4</v>
      </c>
      <c r="D32" t="s">
        <v>63</v>
      </c>
      <c r="E32" t="s">
        <v>53</v>
      </c>
      <c r="F32" t="s">
        <v>47</v>
      </c>
      <c r="G32" s="12">
        <v>1.3017103417089302</v>
      </c>
      <c r="H32" s="21">
        <v>0.19031017825259791</v>
      </c>
      <c r="I32" s="13">
        <f t="shared" si="0"/>
        <v>2477.2872716387665</v>
      </c>
      <c r="J32" s="14">
        <v>170.23573043230599</v>
      </c>
      <c r="K32" s="14">
        <f t="shared" si="1"/>
        <v>221.59761083210634</v>
      </c>
      <c r="L32" s="22">
        <v>29052.205492938447</v>
      </c>
      <c r="M32" s="14">
        <f t="shared" si="2"/>
        <v>37817.556339610965</v>
      </c>
      <c r="N32" s="14">
        <v>123.344451391072</v>
      </c>
      <c r="O32" s="14">
        <f t="shared" si="3"/>
        <v>160.55874796817287</v>
      </c>
      <c r="P32" s="23">
        <v>4.5305110171370053</v>
      </c>
      <c r="Q32" s="13">
        <f t="shared" si="4"/>
        <v>58.974130442334832</v>
      </c>
      <c r="R32" s="23">
        <v>2.0443802548985577</v>
      </c>
      <c r="S32" s="13">
        <f t="shared" si="5"/>
        <v>26.611909201869913</v>
      </c>
      <c r="T32" s="23">
        <v>25.227571945962541</v>
      </c>
      <c r="U32" s="14">
        <f t="shared" si="6"/>
        <v>32.838991298265519</v>
      </c>
      <c r="V32" s="23">
        <v>8.5719301818490017</v>
      </c>
      <c r="W32" s="14">
        <f t="shared" si="7"/>
        <v>11.158170166119756</v>
      </c>
      <c r="X32" s="23">
        <v>62.472708959986164</v>
      </c>
      <c r="Y32" s="14">
        <f t="shared" si="8"/>
        <v>81.321371327786139</v>
      </c>
      <c r="Z32" s="23">
        <v>29.700633967319902</v>
      </c>
      <c r="AA32" s="14">
        <f t="shared" si="9"/>
        <v>38.66162239057185</v>
      </c>
      <c r="AB32" s="24">
        <v>2985.0626647802965</v>
      </c>
      <c r="AC32" s="15">
        <f t="shared" si="10"/>
        <v>3885.6869413937297</v>
      </c>
      <c r="AD32" s="24">
        <v>484.58809493186629</v>
      </c>
      <c r="AE32" s="15">
        <f t="shared" si="11"/>
        <v>630.79333464183912</v>
      </c>
      <c r="AF32" s="24">
        <v>546.61537108314531</v>
      </c>
      <c r="AG32" s="15">
        <f t="shared" si="12"/>
        <v>711.53488147599467</v>
      </c>
      <c r="AH32" s="24">
        <v>10.660938088501059</v>
      </c>
      <c r="AI32" s="15">
        <f t="shared" si="13"/>
        <v>13.877453362120463</v>
      </c>
    </row>
    <row r="33" spans="1:35" x14ac:dyDescent="0.45">
      <c r="A33" s="11" t="s">
        <v>2</v>
      </c>
      <c r="B33" s="11" t="s">
        <v>3</v>
      </c>
      <c r="C33" s="10" t="s">
        <v>4</v>
      </c>
      <c r="D33" t="s">
        <v>63</v>
      </c>
      <c r="E33" t="s">
        <v>54</v>
      </c>
      <c r="F33" t="s">
        <v>47</v>
      </c>
      <c r="G33" s="12">
        <v>1.3017103417089302</v>
      </c>
      <c r="H33" s="21">
        <v>0.24050937658970695</v>
      </c>
      <c r="I33" s="13">
        <f t="shared" si="0"/>
        <v>3130.735427847892</v>
      </c>
      <c r="J33" s="14">
        <v>192.46427779361912</v>
      </c>
      <c r="K33" s="14">
        <f t="shared" si="1"/>
        <v>250.53274081349443</v>
      </c>
      <c r="L33" s="22">
        <v>29995.762443367239</v>
      </c>
      <c r="M33" s="14">
        <f t="shared" si="2"/>
        <v>39045.794179975463</v>
      </c>
      <c r="N33" s="14">
        <v>126.94452365111049</v>
      </c>
      <c r="O33" s="14">
        <f t="shared" si="3"/>
        <v>165.2449992599644</v>
      </c>
      <c r="P33" s="23">
        <v>4.767544910179641</v>
      </c>
      <c r="Q33" s="13">
        <f t="shared" si="4"/>
        <v>62.05962514142611</v>
      </c>
      <c r="R33" s="23">
        <v>2.8584630738522954</v>
      </c>
      <c r="S33" s="13">
        <f t="shared" si="5"/>
        <v>37.208909446266304</v>
      </c>
      <c r="T33" s="23">
        <v>36.715624252954662</v>
      </c>
      <c r="U33" s="14">
        <f t="shared" si="6"/>
        <v>47.7931077923703</v>
      </c>
      <c r="V33" s="23">
        <v>835.96328521594</v>
      </c>
      <c r="W33" s="14">
        <f t="shared" si="7"/>
        <v>1088.1820536545611</v>
      </c>
      <c r="X33" s="23">
        <v>356.85415540925516</v>
      </c>
      <c r="Y33" s="14">
        <f t="shared" si="8"/>
        <v>464.5207445780332</v>
      </c>
      <c r="Z33" s="23">
        <v>35.509625316585982</v>
      </c>
      <c r="AA33" s="14">
        <f t="shared" si="9"/>
        <v>46.223246504809218</v>
      </c>
      <c r="AB33" s="24">
        <v>3369.3820935127796</v>
      </c>
      <c r="AC33" s="15">
        <f t="shared" si="10"/>
        <v>4385.9595162944706</v>
      </c>
      <c r="AD33" s="24">
        <v>1157.6593401890177</v>
      </c>
      <c r="AE33" s="15">
        <f t="shared" si="11"/>
        <v>1506.9371352999808</v>
      </c>
      <c r="AF33" s="24">
        <v>604.47720543318826</v>
      </c>
      <c r="AG33" s="15">
        <f t="shared" si="12"/>
        <v>786.85422963969472</v>
      </c>
      <c r="AH33" s="24">
        <v>17.802406882142151</v>
      </c>
      <c r="AI33" s="15">
        <f t="shared" si="13"/>
        <v>23.17357714579467</v>
      </c>
    </row>
    <row r="34" spans="1:35" x14ac:dyDescent="0.45">
      <c r="A34" s="11" t="s">
        <v>2</v>
      </c>
      <c r="B34" s="11" t="s">
        <v>3</v>
      </c>
      <c r="C34" s="10" t="s">
        <v>4</v>
      </c>
      <c r="D34" t="s">
        <v>63</v>
      </c>
      <c r="E34" t="s">
        <v>55</v>
      </c>
      <c r="F34" t="s">
        <v>47</v>
      </c>
      <c r="G34" s="12">
        <v>1.3017103417089302</v>
      </c>
      <c r="H34" s="21">
        <v>0.25215273149737755</v>
      </c>
      <c r="I34" s="13">
        <f t="shared" si="0"/>
        <v>3282.2981828029147</v>
      </c>
      <c r="J34" s="14">
        <v>170.10876216345468</v>
      </c>
      <c r="K34" s="14">
        <f t="shared" si="1"/>
        <v>221.43233492347375</v>
      </c>
      <c r="L34" s="22">
        <v>29674.528510735989</v>
      </c>
      <c r="M34" s="14">
        <f t="shared" si="2"/>
        <v>38627.640647761538</v>
      </c>
      <c r="N34" s="14">
        <v>126.63652294390519</v>
      </c>
      <c r="O34" s="14">
        <f t="shared" si="3"/>
        <v>164.84407155414161</v>
      </c>
      <c r="P34" s="23">
        <v>5.4805640993821836</v>
      </c>
      <c r="Q34" s="13">
        <f t="shared" si="4"/>
        <v>71.341069665644767</v>
      </c>
      <c r="R34" s="23">
        <v>2.9968627659543028</v>
      </c>
      <c r="S34" s="13">
        <f t="shared" si="5"/>
        <v>39.010472551251453</v>
      </c>
      <c r="T34" s="23">
        <v>34.992837036287852</v>
      </c>
      <c r="U34" s="14">
        <f t="shared" si="6"/>
        <v>45.55053785587117</v>
      </c>
      <c r="V34" s="23">
        <v>318.23421656170041</v>
      </c>
      <c r="W34" s="14">
        <f t="shared" si="7"/>
        <v>414.24877078400476</v>
      </c>
      <c r="X34" s="23">
        <v>126.33306385794427</v>
      </c>
      <c r="Y34" s="14">
        <f t="shared" si="8"/>
        <v>164.44905572366073</v>
      </c>
      <c r="Z34" s="23">
        <v>18.806272346669299</v>
      </c>
      <c r="AA34" s="14">
        <f t="shared" si="9"/>
        <v>24.480319202654098</v>
      </c>
      <c r="AB34" s="24">
        <v>3696.856850649528</v>
      </c>
      <c r="AC34" s="15">
        <f t="shared" si="10"/>
        <v>4812.2367943079971</v>
      </c>
      <c r="AD34" s="24">
        <v>574.95025807552156</v>
      </c>
      <c r="AE34" s="15">
        <f t="shared" si="11"/>
        <v>748.41869690512476</v>
      </c>
      <c r="AF34" s="24">
        <v>534.10679711933699</v>
      </c>
      <c r="AG34" s="15">
        <f t="shared" si="12"/>
        <v>695.25234138727433</v>
      </c>
      <c r="AH34" s="24">
        <v>13.509760162430288</v>
      </c>
      <c r="AI34" s="15">
        <f t="shared" si="13"/>
        <v>17.585794517442821</v>
      </c>
    </row>
    <row r="35" spans="1:35" x14ac:dyDescent="0.45">
      <c r="A35" s="11" t="s">
        <v>2</v>
      </c>
      <c r="B35" s="11" t="s">
        <v>3</v>
      </c>
      <c r="C35" s="10" t="s">
        <v>4</v>
      </c>
      <c r="D35" t="s">
        <v>63</v>
      </c>
      <c r="E35" t="s">
        <v>56</v>
      </c>
      <c r="F35" t="s">
        <v>47</v>
      </c>
      <c r="G35" s="12">
        <v>1.3017103417089302</v>
      </c>
      <c r="H35" s="21">
        <v>0.25107428198823767</v>
      </c>
      <c r="I35" s="13">
        <f t="shared" si="0"/>
        <v>3268.2598940123312</v>
      </c>
      <c r="J35" s="14">
        <v>167.78580908190085</v>
      </c>
      <c r="K35" s="14">
        <f t="shared" si="1"/>
        <v>218.4085228739105</v>
      </c>
      <c r="L35" s="22">
        <v>30982.670565917146</v>
      </c>
      <c r="M35" s="14">
        <f t="shared" si="2"/>
        <v>40330.462689415224</v>
      </c>
      <c r="N35" s="14">
        <v>126.94905131593559</v>
      </c>
      <c r="O35" s="14">
        <f t="shared" si="3"/>
        <v>165.25089296809105</v>
      </c>
      <c r="P35" s="23">
        <v>5.185966399372365</v>
      </c>
      <c r="Q35" s="13">
        <f t="shared" si="4"/>
        <v>67.506260938180318</v>
      </c>
      <c r="R35" s="23">
        <v>2.9708031070256862</v>
      </c>
      <c r="S35" s="13">
        <f t="shared" si="5"/>
        <v>38.67125127596357</v>
      </c>
      <c r="T35" s="23">
        <v>28.215159357365554</v>
      </c>
      <c r="U35" s="14">
        <f t="shared" si="6"/>
        <v>36.727964728448235</v>
      </c>
      <c r="V35" s="23">
        <v>540.53825792111343</v>
      </c>
      <c r="W35" s="14">
        <f t="shared" si="7"/>
        <v>703.62424042524242</v>
      </c>
      <c r="X35" s="23">
        <v>211.876269207337</v>
      </c>
      <c r="Y35" s="14">
        <f t="shared" si="8"/>
        <v>275.80153078989593</v>
      </c>
      <c r="Z35" s="23">
        <v>27.055392256325501</v>
      </c>
      <c r="AA35" s="14">
        <f t="shared" si="9"/>
        <v>35.218283899050611</v>
      </c>
      <c r="AB35" s="24">
        <v>3772.8078075939593</v>
      </c>
      <c r="AC35" s="15">
        <f t="shared" si="10"/>
        <v>4911.1029404252531</v>
      </c>
      <c r="AD35" s="24">
        <v>897.1066292992781</v>
      </c>
      <c r="AE35" s="15">
        <f t="shared" si="11"/>
        <v>1167.7729769745099</v>
      </c>
      <c r="AF35" s="24">
        <v>732.13389578630995</v>
      </c>
      <c r="AG35" s="15">
        <f t="shared" si="12"/>
        <v>953.02626366068785</v>
      </c>
      <c r="AH35" s="24">
        <v>15.311194875059794</v>
      </c>
      <c r="AI35" s="15">
        <f t="shared" si="13"/>
        <v>19.930740712786104</v>
      </c>
    </row>
    <row r="36" spans="1:35" x14ac:dyDescent="0.45">
      <c r="A36" s="11" t="s">
        <v>2</v>
      </c>
      <c r="B36" s="11" t="s">
        <v>3</v>
      </c>
      <c r="C36" s="10" t="s">
        <v>4</v>
      </c>
      <c r="D36" t="s">
        <v>63</v>
      </c>
      <c r="E36" t="s">
        <v>57</v>
      </c>
      <c r="F36" t="s">
        <v>47</v>
      </c>
      <c r="G36" s="12">
        <v>1.3017103417089302</v>
      </c>
      <c r="H36" s="21">
        <v>0.20859390971996739</v>
      </c>
      <c r="I36" s="13">
        <f t="shared" si="0"/>
        <v>2715.2884949998047</v>
      </c>
      <c r="J36" s="14">
        <v>163.17016133786632</v>
      </c>
      <c r="K36" s="14">
        <f t="shared" si="1"/>
        <v>212.40028647181524</v>
      </c>
      <c r="L36" s="22">
        <v>31818.181460883927</v>
      </c>
      <c r="M36" s="14">
        <f t="shared" si="2"/>
        <v>41418.055862003966</v>
      </c>
      <c r="N36" s="14">
        <v>137.6748236288247</v>
      </c>
      <c r="O36" s="14">
        <f t="shared" si="3"/>
        <v>179.21274171059409</v>
      </c>
      <c r="P36" s="23">
        <v>4.5777796688741725</v>
      </c>
      <c r="Q36" s="13">
        <f t="shared" si="4"/>
        <v>59.589431370383927</v>
      </c>
      <c r="R36" s="23">
        <v>2.0723732284768213</v>
      </c>
      <c r="S36" s="13">
        <f t="shared" si="5"/>
        <v>26.976296633890019</v>
      </c>
      <c r="T36" s="23">
        <v>31.96989189207854</v>
      </c>
      <c r="U36" s="14">
        <f t="shared" si="6"/>
        <v>41.615538899235112</v>
      </c>
      <c r="V36" s="23">
        <v>1544.042533403328</v>
      </c>
      <c r="W36" s="14">
        <f t="shared" si="7"/>
        <v>2009.8961337695685</v>
      </c>
      <c r="X36" s="23">
        <v>515.80743493781313</v>
      </c>
      <c r="Y36" s="14">
        <f t="shared" si="8"/>
        <v>671.43187238890755</v>
      </c>
      <c r="Z36" s="23">
        <v>17.472211129058316</v>
      </c>
      <c r="AA36" s="14">
        <f t="shared" si="9"/>
        <v>22.743757919217071</v>
      </c>
      <c r="AB36" s="24">
        <v>3366.7142575140097</v>
      </c>
      <c r="AC36" s="15">
        <f t="shared" si="10"/>
        <v>4382.4867665848888</v>
      </c>
      <c r="AD36" s="24">
        <v>1376.0304444727458</v>
      </c>
      <c r="AE36" s="15">
        <f t="shared" si="11"/>
        <v>1791.193060076509</v>
      </c>
      <c r="AF36" s="24">
        <v>689.99797503820685</v>
      </c>
      <c r="AG36" s="15">
        <f t="shared" si="12"/>
        <v>898.17749986545402</v>
      </c>
      <c r="AH36" s="24">
        <v>29.344741467142139</v>
      </c>
      <c r="AI36" s="15">
        <f t="shared" si="13"/>
        <v>38.19835344255381</v>
      </c>
    </row>
    <row r="37" spans="1:35" x14ac:dyDescent="0.45">
      <c r="A37" s="11" t="s">
        <v>2</v>
      </c>
      <c r="B37" s="11" t="s">
        <v>3</v>
      </c>
      <c r="C37" s="10" t="s">
        <v>4</v>
      </c>
      <c r="D37" t="s">
        <v>63</v>
      </c>
      <c r="E37" t="s">
        <v>51</v>
      </c>
      <c r="F37" t="s">
        <v>48</v>
      </c>
      <c r="G37" s="12">
        <v>1.3017103417089302</v>
      </c>
      <c r="H37" s="21">
        <v>0.12495149367853885</v>
      </c>
      <c r="I37" s="13">
        <f t="shared" si="0"/>
        <v>1626.5065153333203</v>
      </c>
      <c r="J37" s="14">
        <v>188.16206210978831</v>
      </c>
      <c r="K37" s="14">
        <f t="shared" si="1"/>
        <v>244.93250216558948</v>
      </c>
      <c r="L37" s="22">
        <v>28122.047326191183</v>
      </c>
      <c r="M37" s="14">
        <f t="shared" si="2"/>
        <v>36606.759834531025</v>
      </c>
      <c r="N37" s="14">
        <v>118.62390872138826</v>
      </c>
      <c r="O37" s="14">
        <f t="shared" si="3"/>
        <v>154.41396875656727</v>
      </c>
      <c r="P37" s="23">
        <v>4.7002883115025114</v>
      </c>
      <c r="Q37" s="13">
        <f t="shared" si="4"/>
        <v>61.184139040964247</v>
      </c>
      <c r="R37" s="23">
        <v>2.0946937040391624</v>
      </c>
      <c r="S37" s="13">
        <f t="shared" si="5"/>
        <v>27.266844572603627</v>
      </c>
      <c r="T37" s="23">
        <v>14.774984281655371</v>
      </c>
      <c r="U37" s="14">
        <f t="shared" si="6"/>
        <v>19.232749838017686</v>
      </c>
      <c r="V37" s="23">
        <v>224.17993896521793</v>
      </c>
      <c r="W37" s="14">
        <f t="shared" si="7"/>
        <v>291.81734495470096</v>
      </c>
      <c r="X37" s="23">
        <v>70.723375521597788</v>
      </c>
      <c r="Y37" s="14">
        <f t="shared" si="8"/>
        <v>92.061349317028046</v>
      </c>
      <c r="Z37" s="23">
        <v>3.6484281023046483</v>
      </c>
      <c r="AA37" s="14">
        <f t="shared" si="9"/>
        <v>4.7491965917514483</v>
      </c>
      <c r="AB37" s="24">
        <v>3085.4840931512949</v>
      </c>
      <c r="AC37" s="15">
        <f t="shared" si="10"/>
        <v>4016.4065532334407</v>
      </c>
      <c r="AD37" s="24">
        <v>397.88929201234612</v>
      </c>
      <c r="AE37" s="15">
        <f t="shared" si="11"/>
        <v>517.93660626771543</v>
      </c>
      <c r="AF37" s="24">
        <v>434.73089312460036</v>
      </c>
      <c r="AG37" s="15">
        <f t="shared" si="12"/>
        <v>565.89369944065186</v>
      </c>
      <c r="AH37" s="24">
        <v>11.605104350360094</v>
      </c>
      <c r="AI37" s="15">
        <f t="shared" si="13"/>
        <v>15.10648434947503</v>
      </c>
    </row>
    <row r="38" spans="1:35" x14ac:dyDescent="0.45">
      <c r="A38" s="11" t="s">
        <v>2</v>
      </c>
      <c r="B38" s="11" t="s">
        <v>3</v>
      </c>
      <c r="C38" s="10" t="s">
        <v>4</v>
      </c>
      <c r="D38" t="s">
        <v>63</v>
      </c>
      <c r="E38" t="s">
        <v>52</v>
      </c>
      <c r="F38" t="s">
        <v>48</v>
      </c>
      <c r="G38" s="12">
        <v>1.3017103417089302</v>
      </c>
      <c r="H38" s="21">
        <v>0.19250603047535597</v>
      </c>
      <c r="I38" s="13">
        <f t="shared" si="0"/>
        <v>2505.8709071110538</v>
      </c>
      <c r="J38" s="14">
        <v>172.9261695345599</v>
      </c>
      <c r="K38" s="14">
        <f t="shared" si="1"/>
        <v>225.09978323524837</v>
      </c>
      <c r="L38" s="22">
        <v>28401.813299312562</v>
      </c>
      <c r="M38" s="14">
        <f t="shared" si="2"/>
        <v>36970.934095001394</v>
      </c>
      <c r="N38" s="14">
        <v>110.04392606744719</v>
      </c>
      <c r="O38" s="14">
        <f t="shared" si="3"/>
        <v>143.24531660424893</v>
      </c>
      <c r="P38" s="23">
        <v>4.8689783998828808</v>
      </c>
      <c r="Q38" s="13">
        <f t="shared" si="4"/>
        <v>63.37999536684945</v>
      </c>
      <c r="R38" s="23">
        <v>2.0072955348354378</v>
      </c>
      <c r="S38" s="13">
        <f t="shared" si="5"/>
        <v>26.129173565614472</v>
      </c>
      <c r="T38" s="23">
        <v>19.514781785120697</v>
      </c>
      <c r="U38" s="14">
        <f t="shared" si="6"/>
        <v>25.402593265884668</v>
      </c>
      <c r="V38" s="23">
        <v>265.97578446444703</v>
      </c>
      <c r="W38" s="14">
        <f t="shared" si="7"/>
        <v>346.22342928151613</v>
      </c>
      <c r="X38" s="23">
        <v>111.39504553434145</v>
      </c>
      <c r="Y38" s="14">
        <f t="shared" si="8"/>
        <v>145.00408278718945</v>
      </c>
      <c r="Z38" s="23">
        <v>16.164580739999078</v>
      </c>
      <c r="AA38" s="14">
        <f t="shared" si="9"/>
        <v>21.041601918645792</v>
      </c>
      <c r="AB38" s="24">
        <v>2996.7630355235501</v>
      </c>
      <c r="AC38" s="15">
        <f t="shared" si="10"/>
        <v>3900.9174349920518</v>
      </c>
      <c r="AD38" s="24">
        <v>550.4044271343638</v>
      </c>
      <c r="AE38" s="15">
        <f t="shared" si="11"/>
        <v>716.46713492318065</v>
      </c>
      <c r="AF38" s="24">
        <v>456.9197057317715</v>
      </c>
      <c r="AG38" s="15">
        <f t="shared" si="12"/>
        <v>594.77710628164812</v>
      </c>
      <c r="AH38" s="24">
        <v>9.3799838441028029</v>
      </c>
      <c r="AI38" s="15">
        <f t="shared" si="13"/>
        <v>12.210021974931305</v>
      </c>
    </row>
    <row r="39" spans="1:35" x14ac:dyDescent="0.45">
      <c r="A39" s="11" t="s">
        <v>2</v>
      </c>
      <c r="B39" s="11" t="s">
        <v>3</v>
      </c>
      <c r="C39" s="10" t="s">
        <v>4</v>
      </c>
      <c r="D39" t="s">
        <v>63</v>
      </c>
      <c r="E39" t="s">
        <v>53</v>
      </c>
      <c r="F39" t="s">
        <v>48</v>
      </c>
      <c r="G39" s="12">
        <v>1.3017103417089302</v>
      </c>
      <c r="H39" s="21">
        <v>0.14239361129201533</v>
      </c>
      <c r="I39" s="13">
        <f t="shared" si="0"/>
        <v>1853.5523641209786</v>
      </c>
      <c r="J39" s="14">
        <v>132.74453662946578</v>
      </c>
      <c r="K39" s="14">
        <f t="shared" si="1"/>
        <v>172.79493613593553</v>
      </c>
      <c r="L39" s="22">
        <v>30313.304633295917</v>
      </c>
      <c r="M39" s="14">
        <f t="shared" si="2"/>
        <v>39459.142132534522</v>
      </c>
      <c r="N39" s="14">
        <v>108.96939574060627</v>
      </c>
      <c r="O39" s="14">
        <f t="shared" si="3"/>
        <v>141.84658936532023</v>
      </c>
      <c r="P39" s="23">
        <v>4.1667519417118948</v>
      </c>
      <c r="Q39" s="13">
        <f t="shared" si="4"/>
        <v>54.239040938621393</v>
      </c>
      <c r="R39" s="23">
        <v>1.6215438590898505</v>
      </c>
      <c r="S39" s="13">
        <f t="shared" si="5"/>
        <v>21.107804109118664</v>
      </c>
      <c r="T39" s="23">
        <v>15.281704697387916</v>
      </c>
      <c r="U39" s="14">
        <f t="shared" si="6"/>
        <v>19.892353043531788</v>
      </c>
      <c r="V39" s="23">
        <v>237.02276255403612</v>
      </c>
      <c r="W39" s="14">
        <f t="shared" si="7"/>
        <v>308.53498123700899</v>
      </c>
      <c r="X39" s="23">
        <v>89.544650009128318</v>
      </c>
      <c r="Y39" s="14">
        <f t="shared" si="8"/>
        <v>116.56119696158898</v>
      </c>
      <c r="Z39" s="23">
        <v>12.768800098035483</v>
      </c>
      <c r="AA39" s="14">
        <f t="shared" si="9"/>
        <v>16.62127913882679</v>
      </c>
      <c r="AB39" s="24">
        <v>2785.6540074780432</v>
      </c>
      <c r="AC39" s="15">
        <f t="shared" si="10"/>
        <v>3626.1146299570946</v>
      </c>
      <c r="AD39" s="24">
        <v>493.24926222637532</v>
      </c>
      <c r="AE39" s="15">
        <f t="shared" si="11"/>
        <v>642.06766568037267</v>
      </c>
      <c r="AF39" s="24">
        <v>472.30449525285627</v>
      </c>
      <c r="AG39" s="15">
        <f t="shared" si="12"/>
        <v>614.80364590625925</v>
      </c>
      <c r="AH39" s="24">
        <v>12.881031688714263</v>
      </c>
      <c r="AI39" s="15">
        <f t="shared" si="13"/>
        <v>16.767372161079802</v>
      </c>
    </row>
    <row r="40" spans="1:35" x14ac:dyDescent="0.45">
      <c r="A40" s="11" t="s">
        <v>2</v>
      </c>
      <c r="B40" s="11" t="s">
        <v>3</v>
      </c>
      <c r="C40" s="10" t="s">
        <v>4</v>
      </c>
      <c r="D40" t="s">
        <v>63</v>
      </c>
      <c r="E40" t="s">
        <v>54</v>
      </c>
      <c r="F40" t="s">
        <v>48</v>
      </c>
      <c r="G40" s="12">
        <v>1.3017103417089302</v>
      </c>
      <c r="H40" s="21">
        <v>0.18419460289884737</v>
      </c>
      <c r="I40" s="13">
        <f t="shared" si="0"/>
        <v>2397.6801948039933</v>
      </c>
      <c r="J40" s="14">
        <v>136.42855292304105</v>
      </c>
      <c r="K40" s="14">
        <f t="shared" si="1"/>
        <v>177.59045824430663</v>
      </c>
      <c r="L40" s="22">
        <v>27684.042125989356</v>
      </c>
      <c r="M40" s="14">
        <f t="shared" si="2"/>
        <v>36036.603935706022</v>
      </c>
      <c r="N40" s="14">
        <v>112.52866044017253</v>
      </c>
      <c r="O40" s="14">
        <f t="shared" si="3"/>
        <v>146.47972103362517</v>
      </c>
      <c r="P40" s="23">
        <v>4.1274476987447706</v>
      </c>
      <c r="Q40" s="13">
        <f t="shared" si="4"/>
        <v>53.727413543187929</v>
      </c>
      <c r="R40" s="23">
        <v>2.0174058577405862</v>
      </c>
      <c r="S40" s="13">
        <f t="shared" si="5"/>
        <v>26.26078068445096</v>
      </c>
      <c r="T40" s="23">
        <v>24.096464929331539</v>
      </c>
      <c r="U40" s="14">
        <f t="shared" si="6"/>
        <v>31.366617597137409</v>
      </c>
      <c r="V40" s="23">
        <v>724.94798553375949</v>
      </c>
      <c r="W40" s="14">
        <f t="shared" si="7"/>
        <v>943.67228997035068</v>
      </c>
      <c r="X40" s="23">
        <v>271.85301913335383</v>
      </c>
      <c r="Y40" s="14">
        <f t="shared" si="8"/>
        <v>353.87388643068238</v>
      </c>
      <c r="Z40" s="23">
        <v>23.734536035791265</v>
      </c>
      <c r="AA40" s="14">
        <f t="shared" si="9"/>
        <v>30.895491013452766</v>
      </c>
      <c r="AB40" s="24">
        <v>2933.45369289977</v>
      </c>
      <c r="AC40" s="15">
        <f t="shared" si="10"/>
        <v>3818.5070089718829</v>
      </c>
      <c r="AD40" s="24">
        <v>854.23700373042163</v>
      </c>
      <c r="AE40" s="15">
        <f t="shared" si="11"/>
        <v>1111.9691420263398</v>
      </c>
      <c r="AF40" s="24">
        <v>573.3134253224307</v>
      </c>
      <c r="AG40" s="15">
        <f t="shared" si="12"/>
        <v>746.28801478277853</v>
      </c>
      <c r="AH40" s="24">
        <v>15.192805771044412</v>
      </c>
      <c r="AI40" s="15">
        <f t="shared" si="13"/>
        <v>19.776632391743629</v>
      </c>
    </row>
    <row r="41" spans="1:35" x14ac:dyDescent="0.45">
      <c r="A41" s="11" t="s">
        <v>2</v>
      </c>
      <c r="B41" s="11" t="s">
        <v>3</v>
      </c>
      <c r="C41" s="10" t="s">
        <v>4</v>
      </c>
      <c r="D41" t="s">
        <v>63</v>
      </c>
      <c r="E41" t="s">
        <v>55</v>
      </c>
      <c r="F41" t="s">
        <v>48</v>
      </c>
      <c r="G41" s="12">
        <v>1.3017103417089302</v>
      </c>
      <c r="H41" s="21">
        <v>0.22013957143509905</v>
      </c>
      <c r="I41" s="13">
        <f t="shared" si="0"/>
        <v>2865.5795675644022</v>
      </c>
      <c r="J41" s="14">
        <v>183.08251716329434</v>
      </c>
      <c r="K41" s="14">
        <f t="shared" si="1"/>
        <v>238.32040597756296</v>
      </c>
      <c r="L41" s="22">
        <v>28808.572553636019</v>
      </c>
      <c r="M41" s="14">
        <f t="shared" si="2"/>
        <v>37500.416822940046</v>
      </c>
      <c r="N41" s="14">
        <v>116.67023152562874</v>
      </c>
      <c r="O41" s="14">
        <f t="shared" si="3"/>
        <v>151.87084694648618</v>
      </c>
      <c r="P41" s="23">
        <v>6.1159935408512887</v>
      </c>
      <c r="Q41" s="13">
        <f t="shared" si="4"/>
        <v>79.612520419511412</v>
      </c>
      <c r="R41" s="23">
        <v>2.413393741246546</v>
      </c>
      <c r="S41" s="13">
        <f t="shared" si="5"/>
        <v>31.41539591596235</v>
      </c>
      <c r="T41" s="23">
        <v>21.990977669079445</v>
      </c>
      <c r="U41" s="14">
        <f t="shared" si="6"/>
        <v>28.62588305613086</v>
      </c>
      <c r="V41" s="23">
        <v>8.2928073567278133</v>
      </c>
      <c r="W41" s="14">
        <f t="shared" si="7"/>
        <v>10.794833098052493</v>
      </c>
      <c r="X41" s="23">
        <v>104.41012402378466</v>
      </c>
      <c r="Y41" s="14">
        <f t="shared" si="8"/>
        <v>135.91173822087251</v>
      </c>
      <c r="Z41" s="23">
        <v>35.529820825298003</v>
      </c>
      <c r="AA41" s="14">
        <f t="shared" si="9"/>
        <v>46.249535207355727</v>
      </c>
      <c r="AB41" s="24">
        <v>3548.9264374484464</v>
      </c>
      <c r="AC41" s="15">
        <f t="shared" si="10"/>
        <v>4619.6742455908734</v>
      </c>
      <c r="AD41" s="24">
        <v>587.87796261133815</v>
      </c>
      <c r="AE41" s="15">
        <f t="shared" si="11"/>
        <v>765.24682359395467</v>
      </c>
      <c r="AF41" s="24">
        <v>433.17323560835439</v>
      </c>
      <c r="AG41" s="15">
        <f t="shared" si="12"/>
        <v>563.86608054291389</v>
      </c>
      <c r="AH41" s="24">
        <v>8.1374686403569427</v>
      </c>
      <c r="AI41" s="15">
        <f t="shared" si="13"/>
        <v>10.592627084484739</v>
      </c>
    </row>
    <row r="42" spans="1:35" x14ac:dyDescent="0.45">
      <c r="A42" s="11" t="s">
        <v>2</v>
      </c>
      <c r="B42" s="11" t="s">
        <v>3</v>
      </c>
      <c r="C42" s="10" t="s">
        <v>4</v>
      </c>
      <c r="D42" t="s">
        <v>63</v>
      </c>
      <c r="E42" t="s">
        <v>56</v>
      </c>
      <c r="F42" t="s">
        <v>48</v>
      </c>
      <c r="G42" s="12">
        <v>1.4687517766368094</v>
      </c>
      <c r="H42" s="21">
        <v>0.1429597517067453</v>
      </c>
      <c r="I42" s="13">
        <f>G42*0.2*10000*H42/100*1000</f>
        <v>4199.4477861367859</v>
      </c>
      <c r="J42" s="14">
        <v>102.42753725716516</v>
      </c>
      <c r="K42" s="14">
        <f>G42*0.2*10000*1000*J42/1000000</f>
        <v>300.88125464598858</v>
      </c>
      <c r="L42" s="22">
        <v>33380.402766843996</v>
      </c>
      <c r="M42" s="14">
        <f>G42*0.2*10000*1000*L42/1000000</f>
        <v>98055.051737308779</v>
      </c>
      <c r="N42" s="14">
        <v>122.54723207553685</v>
      </c>
      <c r="O42" s="14">
        <f>G42*0.2*10000*1000*N42/1000000</f>
        <v>359.98292966573626</v>
      </c>
      <c r="P42" s="23">
        <v>3.5015109680205048</v>
      </c>
      <c r="Q42" s="13">
        <f>G42*0.2*10000*P42/100</f>
        <v>102.85700910386781</v>
      </c>
      <c r="R42" s="23">
        <v>1.4170337641842512</v>
      </c>
      <c r="S42" s="13">
        <f>G42*0.2*10000*R42/100</f>
        <v>41.625417173999296</v>
      </c>
      <c r="T42" s="23">
        <v>13.565774259448341</v>
      </c>
      <c r="U42" s="14">
        <f>G42*0.2*10000*1000*T42/1000000</f>
        <v>39.849510090037292</v>
      </c>
      <c r="V42" s="23">
        <v>176.04297507943753</v>
      </c>
      <c r="W42" s="14">
        <f>G42*0.2*10000*1000*V42/1000000</f>
        <v>517.1268648247069</v>
      </c>
      <c r="X42" s="23">
        <v>28.026790834712621</v>
      </c>
      <c r="Y42" s="14">
        <f>G42*0.2*10000*1000*X42/1000000</f>
        <v>82.328797663824815</v>
      </c>
      <c r="Z42" s="23">
        <v>2.8192629833734588</v>
      </c>
      <c r="AA42" s="14">
        <f>G42*0.2*10000*1000*Z42/1000000</f>
        <v>8.2815950312723174</v>
      </c>
      <c r="AB42" s="24">
        <v>3148.7479291259915</v>
      </c>
      <c r="AC42" s="15">
        <f>G42*0.2*10000*1000*AB42/1000000</f>
        <v>9249.4582301705486</v>
      </c>
      <c r="AD42" s="24">
        <v>288.55085524144937</v>
      </c>
      <c r="AE42" s="15">
        <f>G42*0.2*10000*1000*AD42/1000000</f>
        <v>847.6191625718991</v>
      </c>
      <c r="AF42" s="24">
        <v>564.95220078852196</v>
      </c>
      <c r="AG42" s="15">
        <f>G42*0.2*10000*1000*AF42/1000000</f>
        <v>1659.5490972460341</v>
      </c>
      <c r="AH42" s="24">
        <v>14.073182062653144</v>
      </c>
      <c r="AI42" s="15">
        <f>G42*0.2*10000*1000*AH42/1000000</f>
        <v>41.340022314910165</v>
      </c>
    </row>
    <row r="43" spans="1:35" x14ac:dyDescent="0.45">
      <c r="A43" s="11" t="s">
        <v>2</v>
      </c>
      <c r="B43" s="11" t="s">
        <v>3</v>
      </c>
      <c r="C43" s="10" t="s">
        <v>4</v>
      </c>
      <c r="D43" t="s">
        <v>63</v>
      </c>
      <c r="E43" t="s">
        <v>57</v>
      </c>
      <c r="F43" t="s">
        <v>48</v>
      </c>
      <c r="G43" s="12">
        <v>1.3017103417089302</v>
      </c>
      <c r="H43" s="21">
        <v>0.18103286665642579</v>
      </c>
      <c r="I43" s="13">
        <f t="shared" ref="I43:I53" si="14">G43*0.1*10000*H43/100*1000</f>
        <v>2356.5235471588321</v>
      </c>
      <c r="J43" s="14">
        <v>131.55086397783583</v>
      </c>
      <c r="K43" s="14">
        <f t="shared" ref="K43:K53" si="15">G43*0.1*10000*1000*J43/1000000</f>
        <v>171.24112010069368</v>
      </c>
      <c r="L43" s="22">
        <v>35014.290111393908</v>
      </c>
      <c r="M43" s="14">
        <f t="shared" ref="M43:M53" si="16">G43*0.1*10000*1000*L43/1000000</f>
        <v>45578.463545598184</v>
      </c>
      <c r="N43" s="14">
        <v>127.59444701609641</v>
      </c>
      <c r="O43" s="14">
        <f t="shared" ref="O43:O53" si="17">G43*0.1*10000*1000*N43/1000000</f>
        <v>166.09101122548483</v>
      </c>
      <c r="P43" s="23">
        <v>4.1495613249776184</v>
      </c>
      <c r="Q43" s="13">
        <f t="shared" ref="Q43:Q53" si="18">G43*0.1*10000*P43/100</f>
        <v>54.015268902787767</v>
      </c>
      <c r="R43" s="23">
        <v>2.208970456580126</v>
      </c>
      <c r="S43" s="13">
        <f t="shared" ref="S43:S53" si="19">G43*0.1*10000*R43/100</f>
        <v>28.754396878598474</v>
      </c>
      <c r="T43" s="23">
        <v>23.422429806542212</v>
      </c>
      <c r="U43" s="14">
        <f t="shared" ref="U43:U53" si="20">G43*0.1*10000*1000*T43/1000000</f>
        <v>30.489219107127496</v>
      </c>
      <c r="V43" s="23">
        <v>581.85233616916719</v>
      </c>
      <c r="W43" s="14">
        <f t="shared" ref="W43:W53" si="21">G43*0.1*10000*1000*V43/1000000</f>
        <v>757.40320333890588</v>
      </c>
      <c r="X43" s="23">
        <v>170.17912835484407</v>
      </c>
      <c r="Y43" s="14">
        <f t="shared" ref="Y43:Y53" si="22">G43*0.1*10000*1000*X43/1000000</f>
        <v>221.52393132251197</v>
      </c>
      <c r="Z43" s="23">
        <v>12.679974637301383</v>
      </c>
      <c r="AA43" s="14">
        <f t="shared" ref="AA43:AA53" si="23">G43*0.1*10000*1000*Z43/1000000</f>
        <v>16.50565411798215</v>
      </c>
      <c r="AB43" s="24">
        <v>3383.1116734776501</v>
      </c>
      <c r="AC43" s="15">
        <f t="shared" ref="AC43:AC53" si="24">G43*0.1*10000*1000*AB43/1000000</f>
        <v>4403.8314525220621</v>
      </c>
      <c r="AD43" s="24">
        <v>724.13794808707007</v>
      </c>
      <c r="AE43" s="15">
        <f t="shared" ref="AE43:AE53" si="25">G43*0.1*10000*1000*AD43/1000000</f>
        <v>942.61785584882352</v>
      </c>
      <c r="AF43" s="24">
        <v>613.90172501869722</v>
      </c>
      <c r="AG43" s="15">
        <f t="shared" ref="AG43:AG53" si="26">G43*0.1*10000*1000*AF43/1000000</f>
        <v>799.12222424979007</v>
      </c>
      <c r="AH43" s="24">
        <v>20.431713758362214</v>
      </c>
      <c r="AI43" s="15">
        <f t="shared" ref="AI43:AI53" si="27">G43*0.1*10000*1000*AH43/1000000</f>
        <v>26.596173098096727</v>
      </c>
    </row>
    <row r="44" spans="1:35" x14ac:dyDescent="0.45">
      <c r="A44" s="11" t="s">
        <v>2</v>
      </c>
      <c r="B44" s="11" t="s">
        <v>3</v>
      </c>
      <c r="C44" s="10" t="s">
        <v>4</v>
      </c>
      <c r="D44" t="s">
        <v>63</v>
      </c>
      <c r="E44" t="s">
        <v>51</v>
      </c>
      <c r="F44" t="s">
        <v>49</v>
      </c>
      <c r="G44" s="12">
        <v>1.3017103417089302</v>
      </c>
      <c r="H44" s="21">
        <v>0.13318462976366796</v>
      </c>
      <c r="I44" s="13">
        <f t="shared" si="14"/>
        <v>1733.6780992004158</v>
      </c>
      <c r="J44" s="14">
        <v>137.63294268694821</v>
      </c>
      <c r="K44" s="14">
        <f t="shared" si="15"/>
        <v>179.15822485543296</v>
      </c>
      <c r="L44" s="22">
        <v>27626.322553829457</v>
      </c>
      <c r="M44" s="14">
        <f t="shared" si="16"/>
        <v>35961.46977170647</v>
      </c>
      <c r="N44" s="14">
        <v>107.71273775500293</v>
      </c>
      <c r="O44" s="14">
        <f t="shared" si="17"/>
        <v>140.21078466946926</v>
      </c>
      <c r="P44" s="23">
        <v>4.2722701579865454</v>
      </c>
      <c r="Q44" s="13">
        <f t="shared" si="18"/>
        <v>55.612582472255305</v>
      </c>
      <c r="R44" s="23">
        <v>1.165164588541785</v>
      </c>
      <c r="S44" s="13">
        <f t="shared" si="19"/>
        <v>15.167067946978719</v>
      </c>
      <c r="T44" s="23">
        <v>16.861899005002321</v>
      </c>
      <c r="U44" s="14">
        <f t="shared" si="20"/>
        <v>21.949308315663043</v>
      </c>
      <c r="V44" s="23">
        <v>109.41686858254718</v>
      </c>
      <c r="W44" s="14">
        <f t="shared" si="21"/>
        <v>142.42906939130862</v>
      </c>
      <c r="X44" s="23">
        <v>61.599097686992046</v>
      </c>
      <c r="Y44" s="14">
        <f t="shared" si="22"/>
        <v>80.184182499096181</v>
      </c>
      <c r="Z44" s="23">
        <v>9.3968050293213974</v>
      </c>
      <c r="AA44" s="14">
        <f t="shared" si="23"/>
        <v>12.231918285690149</v>
      </c>
      <c r="AB44" s="24">
        <v>2935.9582425416497</v>
      </c>
      <c r="AC44" s="15">
        <f t="shared" si="24"/>
        <v>3821.7672071420411</v>
      </c>
      <c r="AD44" s="24">
        <v>413.83984783948853</v>
      </c>
      <c r="AE44" s="15">
        <f t="shared" si="25"/>
        <v>538.69960974391233</v>
      </c>
      <c r="AF44" s="24">
        <v>431.87645137728714</v>
      </c>
      <c r="AG44" s="15">
        <f t="shared" si="26"/>
        <v>562.17804309836868</v>
      </c>
      <c r="AH44" s="24">
        <v>11.022368828654658</v>
      </c>
      <c r="AI44" s="15">
        <f t="shared" si="27"/>
        <v>14.347931494389917</v>
      </c>
    </row>
    <row r="45" spans="1:35" x14ac:dyDescent="0.45">
      <c r="A45" s="11" t="s">
        <v>2</v>
      </c>
      <c r="B45" s="11" t="s">
        <v>3</v>
      </c>
      <c r="C45" s="10" t="s">
        <v>4</v>
      </c>
      <c r="D45" t="s">
        <v>63</v>
      </c>
      <c r="E45" t="s">
        <v>52</v>
      </c>
      <c r="F45" t="s">
        <v>49</v>
      </c>
      <c r="G45" s="12">
        <v>1.3017103417089302</v>
      </c>
      <c r="H45" s="25">
        <v>0.13319088947885693</v>
      </c>
      <c r="I45" s="19">
        <f t="shared" si="14"/>
        <v>1733.7595825603921</v>
      </c>
      <c r="J45" s="15">
        <v>123.74679078763529</v>
      </c>
      <c r="K45" s="15">
        <f t="shared" si="15"/>
        <v>161.08247732155624</v>
      </c>
      <c r="L45" s="26">
        <v>28908.061782357425</v>
      </c>
      <c r="M45" s="15">
        <f t="shared" si="16"/>
        <v>37629.92298085535</v>
      </c>
      <c r="N45" s="15">
        <v>107.5177034712241</v>
      </c>
      <c r="O45" s="15">
        <f t="shared" si="17"/>
        <v>139.95690652528654</v>
      </c>
      <c r="P45" s="27">
        <v>3.8954678285581767</v>
      </c>
      <c r="Q45" s="19">
        <f t="shared" si="18"/>
        <v>50.707707582286083</v>
      </c>
      <c r="R45" s="27">
        <v>1.4211811762981275</v>
      </c>
      <c r="S45" s="19">
        <f t="shared" si="19"/>
        <v>18.499662346293348</v>
      </c>
      <c r="T45" s="27">
        <v>14.849485600932766</v>
      </c>
      <c r="U45" s="15">
        <f t="shared" si="20"/>
        <v>19.329728975792033</v>
      </c>
      <c r="V45" s="27">
        <v>212.03652250474892</v>
      </c>
      <c r="W45" s="15">
        <f t="shared" si="21"/>
        <v>276.01013416442999</v>
      </c>
      <c r="X45" s="27">
        <v>72.391390460515964</v>
      </c>
      <c r="Y45" s="15">
        <f t="shared" si="22"/>
        <v>94.23262161314284</v>
      </c>
      <c r="Z45" s="27">
        <v>10.366140268119059</v>
      </c>
      <c r="AA45" s="15">
        <f t="shared" si="23"/>
        <v>13.493711990615962</v>
      </c>
      <c r="AB45" s="24">
        <v>2967.0590223179984</v>
      </c>
      <c r="AC45" s="15">
        <f t="shared" si="24"/>
        <v>3862.251413812126</v>
      </c>
      <c r="AD45" s="24">
        <v>472.12324307830301</v>
      </c>
      <c r="AE45" s="15">
        <f t="shared" si="25"/>
        <v>614.56770807618614</v>
      </c>
      <c r="AF45" s="24">
        <v>487.1590151508604</v>
      </c>
      <c r="AG45" s="15">
        <f t="shared" si="26"/>
        <v>634.13992807861246</v>
      </c>
      <c r="AH45" s="24">
        <v>12.930763982399382</v>
      </c>
      <c r="AI45" s="15">
        <f t="shared" si="27"/>
        <v>16.832109202086627</v>
      </c>
    </row>
    <row r="46" spans="1:35" x14ac:dyDescent="0.45">
      <c r="A46" s="11" t="s">
        <v>2</v>
      </c>
      <c r="B46" s="11" t="s">
        <v>3</v>
      </c>
      <c r="C46" s="10" t="s">
        <v>4</v>
      </c>
      <c r="D46" t="s">
        <v>63</v>
      </c>
      <c r="E46" t="s">
        <v>53</v>
      </c>
      <c r="F46" t="s">
        <v>49</v>
      </c>
      <c r="G46" s="12">
        <v>1.3017103417089302</v>
      </c>
      <c r="H46" s="25">
        <v>0.1745561850411595</v>
      </c>
      <c r="I46" s="19">
        <f t="shared" si="14"/>
        <v>2272.2159127733494</v>
      </c>
      <c r="J46" s="15">
        <v>151.43133827171872</v>
      </c>
      <c r="K46" s="15">
        <f t="shared" si="15"/>
        <v>197.11973908711957</v>
      </c>
      <c r="L46" s="26">
        <v>26156.322065115051</v>
      </c>
      <c r="M46" s="15">
        <f t="shared" si="16"/>
        <v>34047.954933229747</v>
      </c>
      <c r="N46" s="15">
        <v>109.14856200104401</v>
      </c>
      <c r="O46" s="15">
        <f t="shared" si="17"/>
        <v>142.07981193941737</v>
      </c>
      <c r="P46" s="27">
        <v>4.6383812240778788</v>
      </c>
      <c r="Q46" s="19">
        <f t="shared" si="18"/>
        <v>60.378288081707012</v>
      </c>
      <c r="R46" s="27">
        <v>2.0535564450212638</v>
      </c>
      <c r="S46" s="19">
        <f t="shared" si="19"/>
        <v>26.731356617672049</v>
      </c>
      <c r="T46" s="27">
        <v>17.425701277143745</v>
      </c>
      <c r="U46" s="15">
        <f t="shared" si="20"/>
        <v>22.683215563988526</v>
      </c>
      <c r="V46" s="27">
        <v>175.25389345543982</v>
      </c>
      <c r="W46" s="15">
        <f t="shared" si="21"/>
        <v>228.129805535701</v>
      </c>
      <c r="X46" s="27">
        <v>102.07997909289436</v>
      </c>
      <c r="Y46" s="15">
        <f t="shared" si="22"/>
        <v>132.87856446665197</v>
      </c>
      <c r="Z46" s="27">
        <v>30.491547879438286</v>
      </c>
      <c r="AA46" s="15">
        <f t="shared" si="23"/>
        <v>39.691163209377819</v>
      </c>
      <c r="AB46" s="24">
        <v>3176.8150017788821</v>
      </c>
      <c r="AC46" s="15">
        <f t="shared" si="24"/>
        <v>4135.2929415116441</v>
      </c>
      <c r="AD46" s="24">
        <v>573.48450426530178</v>
      </c>
      <c r="AE46" s="15">
        <f t="shared" si="25"/>
        <v>746.51071001196237</v>
      </c>
      <c r="AF46" s="24">
        <v>513.72645508135429</v>
      </c>
      <c r="AG46" s="15">
        <f t="shared" si="26"/>
        <v>668.72303938886705</v>
      </c>
      <c r="AH46" s="24">
        <v>8.1637205901295911</v>
      </c>
      <c r="AI46" s="15">
        <f t="shared" si="27"/>
        <v>10.626799518993819</v>
      </c>
    </row>
    <row r="47" spans="1:35" x14ac:dyDescent="0.45">
      <c r="A47" s="11" t="s">
        <v>2</v>
      </c>
      <c r="B47" s="11" t="s">
        <v>3</v>
      </c>
      <c r="C47" s="10" t="s">
        <v>4</v>
      </c>
      <c r="D47" t="s">
        <v>63</v>
      </c>
      <c r="E47" t="s">
        <v>54</v>
      </c>
      <c r="F47" t="s">
        <v>49</v>
      </c>
      <c r="G47" s="12">
        <v>1.3017103417089302</v>
      </c>
      <c r="H47" s="25">
        <v>0.18204641092720009</v>
      </c>
      <c r="I47" s="19">
        <f t="shared" si="14"/>
        <v>2369.7169577492996</v>
      </c>
      <c r="J47" s="15">
        <v>151.39014299947792</v>
      </c>
      <c r="K47" s="15">
        <f t="shared" si="15"/>
        <v>197.0661147752142</v>
      </c>
      <c r="L47" s="26">
        <v>26613.808578252167</v>
      </c>
      <c r="M47" s="15">
        <f t="shared" si="16"/>
        <v>34643.469858572687</v>
      </c>
      <c r="N47" s="15">
        <v>109.92660064930242</v>
      </c>
      <c r="O47" s="15">
        <f t="shared" si="17"/>
        <v>143.09259289410457</v>
      </c>
      <c r="P47" s="27">
        <v>4.6977479924113021</v>
      </c>
      <c r="Q47" s="19">
        <f t="shared" si="18"/>
        <v>61.151071444641566</v>
      </c>
      <c r="R47" s="27">
        <v>1.9548363105676658</v>
      </c>
      <c r="S47" s="19">
        <f t="shared" si="19"/>
        <v>25.446306418140608</v>
      </c>
      <c r="T47" s="27">
        <v>21.899782150834053</v>
      </c>
      <c r="U47" s="15">
        <f t="shared" si="20"/>
        <v>28.507172906913326</v>
      </c>
      <c r="V47" s="27">
        <v>154.62700382451217</v>
      </c>
      <c r="W47" s="15">
        <f t="shared" si="21"/>
        <v>201.2795699858338</v>
      </c>
      <c r="X47" s="27">
        <v>118.65405918315773</v>
      </c>
      <c r="Y47" s="15">
        <f t="shared" si="22"/>
        <v>154.45321592445987</v>
      </c>
      <c r="Z47" s="27">
        <v>28.587507264032979</v>
      </c>
      <c r="AA47" s="15">
        <f t="shared" si="23"/>
        <v>37.212653849270893</v>
      </c>
      <c r="AB47" s="24">
        <v>3158.0093237070278</v>
      </c>
      <c r="AC47" s="15">
        <f t="shared" si="24"/>
        <v>4110.8133958826629</v>
      </c>
      <c r="AD47" s="24">
        <v>614.0847048903662</v>
      </c>
      <c r="AE47" s="15">
        <f t="shared" si="25"/>
        <v>799.36041104106619</v>
      </c>
      <c r="AF47" s="24">
        <v>505.83259345135934</v>
      </c>
      <c r="AG47" s="15">
        <f t="shared" si="26"/>
        <v>658.44751806908334</v>
      </c>
      <c r="AH47" s="24">
        <v>9.2309527754353145</v>
      </c>
      <c r="AI47" s="15">
        <f t="shared" si="27"/>
        <v>12.0160266916109</v>
      </c>
    </row>
    <row r="48" spans="1:35" x14ac:dyDescent="0.45">
      <c r="A48" s="11" t="s">
        <v>2</v>
      </c>
      <c r="B48" s="11" t="s">
        <v>3</v>
      </c>
      <c r="C48" s="10" t="s">
        <v>4</v>
      </c>
      <c r="D48" t="s">
        <v>63</v>
      </c>
      <c r="E48" t="s">
        <v>55</v>
      </c>
      <c r="F48" t="s">
        <v>49</v>
      </c>
      <c r="G48" s="12">
        <v>1.3017103417089302</v>
      </c>
      <c r="H48" s="25">
        <v>0.19028171869426516</v>
      </c>
      <c r="I48" s="19">
        <f t="shared" si="14"/>
        <v>2476.9168106247444</v>
      </c>
      <c r="J48" s="15">
        <v>168.70048309257876</v>
      </c>
      <c r="K48" s="15">
        <f t="shared" si="15"/>
        <v>219.59916349290231</v>
      </c>
      <c r="L48" s="26">
        <v>27915.913273652917</v>
      </c>
      <c r="M48" s="15">
        <f t="shared" si="16"/>
        <v>36338.433006563602</v>
      </c>
      <c r="N48" s="15">
        <v>122.50868415056316</v>
      </c>
      <c r="O48" s="15">
        <f t="shared" si="17"/>
        <v>159.47082110794096</v>
      </c>
      <c r="P48" s="27">
        <v>5.4468887311044556</v>
      </c>
      <c r="Q48" s="19">
        <f t="shared" si="18"/>
        <v>70.90271391416502</v>
      </c>
      <c r="R48" s="27">
        <v>2.2934268341492445</v>
      </c>
      <c r="S48" s="19">
        <f t="shared" si="19"/>
        <v>29.853774279648427</v>
      </c>
      <c r="T48" s="27">
        <v>24.702284672696344</v>
      </c>
      <c r="U48" s="15">
        <f t="shared" si="20"/>
        <v>32.155219422286827</v>
      </c>
      <c r="V48" s="27">
        <v>573.29368353885468</v>
      </c>
      <c r="W48" s="15">
        <f t="shared" si="21"/>
        <v>746.26231669893389</v>
      </c>
      <c r="X48" s="27">
        <v>203.94686194017487</v>
      </c>
      <c r="Y48" s="15">
        <f t="shared" si="22"/>
        <v>265.47973934660905</v>
      </c>
      <c r="Z48" s="27">
        <v>17.321709253155458</v>
      </c>
      <c r="AA48" s="15">
        <f t="shared" si="23"/>
        <v>22.54784807090773</v>
      </c>
      <c r="AB48" s="24">
        <v>3583.4794283581941</v>
      </c>
      <c r="AC48" s="15">
        <f t="shared" si="24"/>
        <v>4664.6522311950666</v>
      </c>
      <c r="AD48" s="24">
        <v>926.79869739383071</v>
      </c>
      <c r="AE48" s="15">
        <f t="shared" si="25"/>
        <v>1206.4234490799149</v>
      </c>
      <c r="AF48" s="24">
        <v>449.00144027940473</v>
      </c>
      <c r="AG48" s="15">
        <f t="shared" si="26"/>
        <v>584.46981825390583</v>
      </c>
      <c r="AH48" s="24">
        <v>19.730467090662678</v>
      </c>
      <c r="AI48" s="15">
        <f t="shared" si="27"/>
        <v>25.683353058663315</v>
      </c>
    </row>
    <row r="49" spans="1:35" x14ac:dyDescent="0.45">
      <c r="A49" s="11" t="s">
        <v>2</v>
      </c>
      <c r="B49" s="11" t="s">
        <v>3</v>
      </c>
      <c r="C49" s="10" t="s">
        <v>4</v>
      </c>
      <c r="D49" t="s">
        <v>63</v>
      </c>
      <c r="E49" t="s">
        <v>56</v>
      </c>
      <c r="F49" t="s">
        <v>49</v>
      </c>
      <c r="G49" s="12">
        <v>1.3017103417089302</v>
      </c>
      <c r="H49" s="25">
        <v>0.14601145732596521</v>
      </c>
      <c r="I49" s="19">
        <f t="shared" si="14"/>
        <v>1900.6462400920107</v>
      </c>
      <c r="J49" s="15">
        <v>84.768422673764377</v>
      </c>
      <c r="K49" s="15">
        <f t="shared" si="15"/>
        <v>110.34393244479286</v>
      </c>
      <c r="L49" s="26">
        <v>33367.319960321358</v>
      </c>
      <c r="M49" s="15">
        <f t="shared" si="16"/>
        <v>43434.585467461118</v>
      </c>
      <c r="N49" s="15">
        <v>118.61792933871465</v>
      </c>
      <c r="O49" s="15">
        <f t="shared" si="17"/>
        <v>154.40618533230398</v>
      </c>
      <c r="P49" s="27">
        <v>3.9167640267643575</v>
      </c>
      <c r="Q49" s="19">
        <f t="shared" si="18"/>
        <v>50.984922396726773</v>
      </c>
      <c r="R49" s="27">
        <v>1.6756759484582422</v>
      </c>
      <c r="S49" s="19">
        <f t="shared" si="19"/>
        <v>21.812447114610141</v>
      </c>
      <c r="T49" s="27">
        <v>15.120324377962227</v>
      </c>
      <c r="U49" s="15">
        <f t="shared" si="20"/>
        <v>19.68228261278708</v>
      </c>
      <c r="V49" s="27">
        <v>414.87347666023828</v>
      </c>
      <c r="W49" s="15">
        <f t="shared" si="21"/>
        <v>540.04509506937063</v>
      </c>
      <c r="X49" s="27">
        <v>80.584035608981196</v>
      </c>
      <c r="Y49" s="15">
        <f t="shared" si="22"/>
        <v>104.89707252885151</v>
      </c>
      <c r="Z49" s="27">
        <v>10.351211240725085</v>
      </c>
      <c r="AA49" s="15">
        <f t="shared" si="23"/>
        <v>13.474278721265572</v>
      </c>
      <c r="AB49" s="24">
        <v>3736.4647741695107</v>
      </c>
      <c r="AC49" s="15">
        <f t="shared" si="24"/>
        <v>4863.7948379675745</v>
      </c>
      <c r="AD49" s="24">
        <v>573.31999180378739</v>
      </c>
      <c r="AE49" s="15">
        <f t="shared" si="25"/>
        <v>746.29656243946908</v>
      </c>
      <c r="AF49" s="24">
        <v>595.06661218255181</v>
      </c>
      <c r="AG49" s="15">
        <f t="shared" si="26"/>
        <v>774.60436308372493</v>
      </c>
      <c r="AH49" s="24">
        <v>18.286930773051839</v>
      </c>
      <c r="AI49" s="15">
        <f t="shared" si="27"/>
        <v>23.804286905396861</v>
      </c>
    </row>
    <row r="50" spans="1:35" x14ac:dyDescent="0.45">
      <c r="A50" s="11" t="s">
        <v>2</v>
      </c>
      <c r="B50" s="11" t="s">
        <v>3</v>
      </c>
      <c r="C50" s="10" t="s">
        <v>4</v>
      </c>
      <c r="D50" t="s">
        <v>63</v>
      </c>
      <c r="E50" t="s">
        <v>57</v>
      </c>
      <c r="F50" t="s">
        <v>49</v>
      </c>
      <c r="G50" s="12">
        <v>1.3017103417089302</v>
      </c>
      <c r="H50" s="25">
        <v>0.10804416108144949</v>
      </c>
      <c r="I50" s="19">
        <f t="shared" si="14"/>
        <v>1406.4220184098831</v>
      </c>
      <c r="J50" s="15">
        <v>127.43331676607023</v>
      </c>
      <c r="K50" s="15">
        <f t="shared" si="15"/>
        <v>165.88126631266366</v>
      </c>
      <c r="L50" s="26">
        <v>30214.028330019879</v>
      </c>
      <c r="M50" s="15">
        <f t="shared" si="16"/>
        <v>39329.913141873476</v>
      </c>
      <c r="N50" s="15">
        <v>124.35025265076209</v>
      </c>
      <c r="O50" s="15">
        <f t="shared" si="17"/>
        <v>161.86800986961532</v>
      </c>
      <c r="P50" s="27">
        <v>4.1664322916666663</v>
      </c>
      <c r="Q50" s="19">
        <f t="shared" si="18"/>
        <v>54.234880020925374</v>
      </c>
      <c r="R50" s="27">
        <v>2.0987239583333333</v>
      </c>
      <c r="S50" s="19">
        <f t="shared" si="19"/>
        <v>27.319306809548017</v>
      </c>
      <c r="T50" s="27">
        <v>21.511780052417937</v>
      </c>
      <c r="U50" s="15">
        <f t="shared" si="20"/>
        <v>28.0021065628003</v>
      </c>
      <c r="V50" s="27">
        <v>359.80512840901673</v>
      </c>
      <c r="W50" s="15">
        <f t="shared" si="21"/>
        <v>468.36205664992667</v>
      </c>
      <c r="X50" s="27">
        <v>115.20320553598222</v>
      </c>
      <c r="Y50" s="15">
        <f t="shared" si="22"/>
        <v>149.96120404420753</v>
      </c>
      <c r="Z50" s="27">
        <v>25.537756084034712</v>
      </c>
      <c r="AA50" s="15">
        <f t="shared" si="23"/>
        <v>33.242761198628138</v>
      </c>
      <c r="AB50" s="24">
        <v>3622.8048356306217</v>
      </c>
      <c r="AC50" s="15">
        <f t="shared" si="24"/>
        <v>4715.8425205335016</v>
      </c>
      <c r="AD50" s="24">
        <v>624.20626253801845</v>
      </c>
      <c r="AE50" s="15">
        <f t="shared" si="25"/>
        <v>812.53574730521825</v>
      </c>
      <c r="AF50" s="24">
        <v>603.13177457451616</v>
      </c>
      <c r="AG50" s="15">
        <f t="shared" si="26"/>
        <v>785.10286837690683</v>
      </c>
      <c r="AH50" s="24">
        <v>19.468812690092534</v>
      </c>
      <c r="AI50" s="15">
        <f t="shared" si="27"/>
        <v>25.34275481948751</v>
      </c>
    </row>
    <row r="51" spans="1:35" x14ac:dyDescent="0.45">
      <c r="A51" s="11" t="s">
        <v>2</v>
      </c>
      <c r="B51" s="11" t="s">
        <v>3</v>
      </c>
      <c r="C51" s="10" t="s">
        <v>5</v>
      </c>
      <c r="D51" t="s">
        <v>64</v>
      </c>
      <c r="E51" t="s">
        <v>51</v>
      </c>
      <c r="F51" t="s">
        <v>43</v>
      </c>
      <c r="G51" s="12">
        <v>1.4006073402301149</v>
      </c>
      <c r="H51" s="21">
        <v>0.15550937320435823</v>
      </c>
      <c r="I51" s="13">
        <f t="shared" si="14"/>
        <v>2178.0756958460847</v>
      </c>
      <c r="J51" s="14">
        <v>152.97890405061241</v>
      </c>
      <c r="K51" s="14">
        <f t="shared" si="15"/>
        <v>214.26337591364623</v>
      </c>
      <c r="L51" s="22">
        <v>27296.235820795551</v>
      </c>
      <c r="M51" s="14">
        <f t="shared" si="16"/>
        <v>38231.308251258444</v>
      </c>
      <c r="N51" s="14">
        <v>133.98152380903309</v>
      </c>
      <c r="O51" s="14">
        <f t="shared" si="17"/>
        <v>187.65550570214765</v>
      </c>
      <c r="P51" s="23">
        <v>4.5414337315825133</v>
      </c>
      <c r="Q51" s="13">
        <f t="shared" si="18"/>
        <v>63.607654196231096</v>
      </c>
      <c r="R51" s="23">
        <v>1.4515998228802554</v>
      </c>
      <c r="S51" s="13">
        <f t="shared" si="19"/>
        <v>20.331213670028202</v>
      </c>
      <c r="T51" s="23">
        <v>44.860138854085264</v>
      </c>
      <c r="U51" s="14">
        <f t="shared" si="20"/>
        <v>62.831439762773996</v>
      </c>
      <c r="V51" s="23">
        <v>30.86557691370783</v>
      </c>
      <c r="W51" s="14">
        <f t="shared" si="21"/>
        <v>43.230553585776363</v>
      </c>
      <c r="X51" s="23">
        <v>169.77596815765955</v>
      </c>
      <c r="Y51" s="14">
        <f t="shared" si="22"/>
        <v>237.78946719629221</v>
      </c>
      <c r="Z51" s="23">
        <v>16.926613041544432</v>
      </c>
      <c r="AA51" s="14">
        <f t="shared" si="23"/>
        <v>23.707538471221923</v>
      </c>
      <c r="AB51" s="24">
        <v>2992.3693491660124</v>
      </c>
      <c r="AC51" s="15">
        <f t="shared" si="24"/>
        <v>4191.1344751215292</v>
      </c>
      <c r="AD51" s="24">
        <v>786.97447540436713</v>
      </c>
      <c r="AE51" s="15">
        <f t="shared" si="25"/>
        <v>1102.2422268251007</v>
      </c>
      <c r="AF51" s="24">
        <v>381.56338201423858</v>
      </c>
      <c r="AG51" s="15">
        <f t="shared" si="26"/>
        <v>534.42047361216999</v>
      </c>
      <c r="AH51" s="24">
        <v>15.863912350048507</v>
      </c>
      <c r="AI51" s="15">
        <f t="shared" si="27"/>
        <v>22.219112082245111</v>
      </c>
    </row>
    <row r="52" spans="1:35" x14ac:dyDescent="0.45">
      <c r="A52" s="11" t="s">
        <v>2</v>
      </c>
      <c r="B52" s="11" t="s">
        <v>3</v>
      </c>
      <c r="C52" s="18" t="s">
        <v>5</v>
      </c>
      <c r="D52" t="s">
        <v>64</v>
      </c>
      <c r="E52" t="s">
        <v>52</v>
      </c>
      <c r="F52" t="s">
        <v>43</v>
      </c>
      <c r="G52" s="12">
        <v>1.4006073402301149</v>
      </c>
      <c r="H52" s="21">
        <v>0.13418586145462114</v>
      </c>
      <c r="I52" s="13">
        <f t="shared" si="14"/>
        <v>1879.4170250844359</v>
      </c>
      <c r="J52" s="14">
        <v>131.97130406298623</v>
      </c>
      <c r="K52" s="14">
        <f t="shared" si="15"/>
        <v>184.83997717035894</v>
      </c>
      <c r="L52" s="22">
        <v>30333.702724925195</v>
      </c>
      <c r="M52" s="14">
        <f t="shared" si="16"/>
        <v>42485.606692888468</v>
      </c>
      <c r="N52" s="14">
        <v>110.30437354518253</v>
      </c>
      <c r="O52" s="14">
        <f t="shared" si="17"/>
        <v>154.49311524686715</v>
      </c>
      <c r="P52" s="23">
        <v>4.5041215160410362</v>
      </c>
      <c r="Q52" s="13">
        <f t="shared" si="18"/>
        <v>63.085056566554684</v>
      </c>
      <c r="R52" s="23">
        <v>1.3819463742398632</v>
      </c>
      <c r="S52" s="13">
        <f t="shared" si="19"/>
        <v>19.355642355647458</v>
      </c>
      <c r="T52" s="23">
        <v>15.624634902722285</v>
      </c>
      <c r="U52" s="14">
        <f t="shared" si="20"/>
        <v>21.883978333168482</v>
      </c>
      <c r="V52" s="23">
        <v>15.174790792989926</v>
      </c>
      <c r="W52" s="14">
        <f t="shared" si="21"/>
        <v>21.253923371118059</v>
      </c>
      <c r="X52" s="23">
        <v>43.088285562703831</v>
      </c>
      <c r="Y52" s="14">
        <f t="shared" si="22"/>
        <v>60.34976903705428</v>
      </c>
      <c r="Z52" s="23">
        <v>6.5774344039180406</v>
      </c>
      <c r="AA52" s="14">
        <f t="shared" si="23"/>
        <v>9.2124029060096984</v>
      </c>
      <c r="AB52" s="24">
        <v>2741.3721408995211</v>
      </c>
      <c r="AC52" s="15">
        <f t="shared" si="24"/>
        <v>3839.5859428462145</v>
      </c>
      <c r="AD52" s="24">
        <v>305.05186631368832</v>
      </c>
      <c r="AE52" s="15">
        <f t="shared" si="25"/>
        <v>427.25788310984763</v>
      </c>
      <c r="AF52" s="24">
        <v>458.60146345145091</v>
      </c>
      <c r="AG52" s="15">
        <f t="shared" si="26"/>
        <v>642.32057595037497</v>
      </c>
      <c r="AH52" s="24">
        <v>7.8924492928809959</v>
      </c>
      <c r="AI52" s="15">
        <f t="shared" si="27"/>
        <v>11.054222412003103</v>
      </c>
    </row>
    <row r="53" spans="1:35" x14ac:dyDescent="0.45">
      <c r="A53" s="11" t="s">
        <v>2</v>
      </c>
      <c r="B53" s="11" t="s">
        <v>3</v>
      </c>
      <c r="C53" s="18" t="s">
        <v>5</v>
      </c>
      <c r="D53" t="s">
        <v>64</v>
      </c>
      <c r="E53" t="s">
        <v>53</v>
      </c>
      <c r="F53" t="s">
        <v>43</v>
      </c>
      <c r="G53" s="12">
        <v>1.4006073402301149</v>
      </c>
      <c r="H53" s="21">
        <v>0.102783553748694</v>
      </c>
      <c r="I53" s="13">
        <f t="shared" si="14"/>
        <v>1439.5939983535734</v>
      </c>
      <c r="J53" s="14">
        <v>94.403895208168663</v>
      </c>
      <c r="K53" s="14">
        <f t="shared" si="15"/>
        <v>132.22278857487561</v>
      </c>
      <c r="L53" s="22">
        <v>30097.08342280229</v>
      </c>
      <c r="M53" s="14">
        <f t="shared" si="16"/>
        <v>42154.195961495003</v>
      </c>
      <c r="N53" s="14">
        <v>102.8161234940451</v>
      </c>
      <c r="O53" s="14">
        <f t="shared" si="17"/>
        <v>144.00501725976554</v>
      </c>
      <c r="P53" s="23">
        <v>3.7179749681175629</v>
      </c>
      <c r="Q53" s="13">
        <f t="shared" si="18"/>
        <v>52.074230311372858</v>
      </c>
      <c r="R53" s="23">
        <v>0.93205433085040823</v>
      </c>
      <c r="S53" s="13">
        <f t="shared" si="19"/>
        <v>13.0544213728235</v>
      </c>
      <c r="T53" s="23">
        <v>14.057051103560619</v>
      </c>
      <c r="U53" s="14">
        <f t="shared" si="20"/>
        <v>19.688408957636842</v>
      </c>
      <c r="V53" s="23">
        <v>7.2084326587977339</v>
      </c>
      <c r="W53" s="14">
        <f t="shared" si="21"/>
        <v>10.096183693466591</v>
      </c>
      <c r="X53" s="23">
        <v>16.281287042623372</v>
      </c>
      <c r="Y53" s="14">
        <f t="shared" si="22"/>
        <v>22.803690140291756</v>
      </c>
      <c r="Z53" s="23">
        <v>1.4157640906629021</v>
      </c>
      <c r="AA53" s="14">
        <f t="shared" si="23"/>
        <v>1.9829295774166746</v>
      </c>
      <c r="AB53" s="24">
        <v>2912.925842789627</v>
      </c>
      <c r="AC53" s="15">
        <f t="shared" si="24"/>
        <v>4079.8653169571458</v>
      </c>
      <c r="AD53" s="24">
        <v>156.70803584627743</v>
      </c>
      <c r="AE53" s="15">
        <f t="shared" si="25"/>
        <v>219.48642527934015</v>
      </c>
      <c r="AF53" s="24">
        <v>544.89330111254628</v>
      </c>
      <c r="AG53" s="15">
        <f t="shared" si="26"/>
        <v>763.18155718045057</v>
      </c>
      <c r="AH53" s="24">
        <v>10.447202389751826</v>
      </c>
      <c r="AI53" s="15">
        <f t="shared" si="27"/>
        <v>14.632428351956007</v>
      </c>
    </row>
    <row r="54" spans="1:35" x14ac:dyDescent="0.45">
      <c r="A54" s="11" t="s">
        <v>2</v>
      </c>
      <c r="B54" s="11" t="s">
        <v>3</v>
      </c>
      <c r="C54" s="18" t="s">
        <v>5</v>
      </c>
      <c r="D54" t="s">
        <v>64</v>
      </c>
      <c r="E54" t="s">
        <v>54</v>
      </c>
      <c r="F54" t="s">
        <v>43</v>
      </c>
      <c r="G54" s="12">
        <v>1.4687517766368094</v>
      </c>
      <c r="H54" s="21">
        <v>0.11363212083234986</v>
      </c>
      <c r="I54" s="13">
        <f>G54*0.2*10000*H54/100*1000</f>
        <v>3337.9475871104487</v>
      </c>
      <c r="J54" s="14">
        <v>126.59468763200981</v>
      </c>
      <c r="K54" s="14">
        <f>G54*0.2*10000*1000*J54/1000000</f>
        <v>371.87234474459268</v>
      </c>
      <c r="L54" s="22">
        <v>30159.322641743511</v>
      </c>
      <c r="M54" s="14">
        <f>G54*0.2*10000*1000*L54/1000000</f>
        <v>88593.11742444706</v>
      </c>
      <c r="N54" s="14">
        <v>103.32360534671388</v>
      </c>
      <c r="O54" s="14">
        <f>G54*0.2*10000*1000*N54/1000000</f>
        <v>303.51345784301304</v>
      </c>
      <c r="P54" s="23">
        <v>4.1657564398908224</v>
      </c>
      <c r="Q54" s="13">
        <f>G54*0.2*10000*P54/100</f>
        <v>122.36924344251752</v>
      </c>
      <c r="R54" s="23">
        <v>1.0902967472306844</v>
      </c>
      <c r="S54" s="13">
        <f>G54*0.2*10000*R54/100</f>
        <v>32.027505691128042</v>
      </c>
      <c r="T54" s="23">
        <v>13.626222627182633</v>
      </c>
      <c r="U54" s="14">
        <f>G54*0.2*10000*1000*T54/1000000</f>
        <v>40.027077385046368</v>
      </c>
      <c r="V54" s="23">
        <v>8.0886663066341509</v>
      </c>
      <c r="W54" s="14">
        <f>G54*0.2*10000*1000*V54/1000000</f>
        <v>23.760486016982419</v>
      </c>
      <c r="X54" s="23">
        <v>11.820345276028958</v>
      </c>
      <c r="Y54" s="14">
        <f>G54*0.2*10000*1000*X54/1000000</f>
        <v>34.7223062492561</v>
      </c>
      <c r="Z54" s="23">
        <v>1.654041489137158</v>
      </c>
      <c r="AA54" s="14">
        <f>G54*0.2*10000*1000*Z54/1000000</f>
        <v>4.8587527516023892</v>
      </c>
      <c r="AB54" s="24">
        <v>3149.7694825176009</v>
      </c>
      <c r="AC54" s="15">
        <f>G54*0.2*10000*1000*AB54/1000000</f>
        <v>9252.4590468882598</v>
      </c>
      <c r="AD54" s="24">
        <v>130.14708958086723</v>
      </c>
      <c r="AE54" s="15">
        <f>G54*0.2*10000*1000*AD54/1000000</f>
        <v>382.30753809201747</v>
      </c>
      <c r="AF54" s="24">
        <v>536.3319578695415</v>
      </c>
      <c r="AG54" s="15">
        <f>G54*0.2*10000*1000*AF54/1000000</f>
        <v>1575.4770319759748</v>
      </c>
      <c r="AH54" s="24">
        <v>13.224623618701022</v>
      </c>
      <c r="AI54" s="15">
        <f>G54*0.2*10000*1000*AH54/1000000</f>
        <v>38.847378870640469</v>
      </c>
    </row>
    <row r="55" spans="1:35" x14ac:dyDescent="0.45">
      <c r="A55" s="11" t="s">
        <v>2</v>
      </c>
      <c r="B55" s="11" t="s">
        <v>3</v>
      </c>
      <c r="C55" s="18" t="s">
        <v>5</v>
      </c>
      <c r="D55" t="s">
        <v>64</v>
      </c>
      <c r="E55" t="s">
        <v>55</v>
      </c>
      <c r="F55" t="s">
        <v>43</v>
      </c>
      <c r="G55" s="12">
        <v>1.4006073402301149</v>
      </c>
      <c r="H55" s="21">
        <v>0.13131935516404253</v>
      </c>
      <c r="I55" s="13">
        <f t="shared" ref="I55:I99" si="28">G55*0.1*10000*H55/100*1000</f>
        <v>1839.2685275704341</v>
      </c>
      <c r="J55" s="14">
        <v>242.16488290175718</v>
      </c>
      <c r="K55" s="14">
        <f t="shared" ref="K55:K99" si="29">G55*0.1*10000*1000*J55/1000000</f>
        <v>339.17791253816733</v>
      </c>
      <c r="L55" s="22">
        <v>32353.228355674757</v>
      </c>
      <c r="M55" s="14">
        <f t="shared" ref="M55:M99" si="30">G55*0.1*10000*1000*L55/1000000</f>
        <v>45314.169115099161</v>
      </c>
      <c r="N55" s="14">
        <v>136.58099395659104</v>
      </c>
      <c r="O55" s="14">
        <f t="shared" ref="O55:O99" si="31">G55*0.1*10000*1000*N55/1000000</f>
        <v>191.29634267152639</v>
      </c>
      <c r="P55" s="23">
        <v>4.2010570153890505</v>
      </c>
      <c r="Q55" s="13">
        <f t="shared" ref="Q55:Q99" si="32">G55*0.1*10000*P55/100</f>
        <v>58.840312924791235</v>
      </c>
      <c r="R55" s="23">
        <v>1.3013030267180721</v>
      </c>
      <c r="S55" s="13">
        <f t="shared" ref="S55:S99" si="33">G55*0.1*10000*R55/100</f>
        <v>18.22614571084997</v>
      </c>
      <c r="T55" s="23">
        <v>13.673138460001674</v>
      </c>
      <c r="U55" s="14">
        <f t="shared" ref="U55:U99" si="34">G55*0.1*10000*1000*T55/1000000</f>
        <v>19.150698091061034</v>
      </c>
      <c r="V55" s="23">
        <v>7.153373753614817</v>
      </c>
      <c r="W55" s="14">
        <f t="shared" ref="W55:W99" si="35">G55*0.1*10000*1000*V55/1000000</f>
        <v>10.019067786722362</v>
      </c>
      <c r="X55" s="23">
        <v>15.701304241805314</v>
      </c>
      <c r="Y55" s="14">
        <f t="shared" ref="Y55:Y99" si="36">G55*0.1*10000*1000*X55/1000000</f>
        <v>21.991361972258762</v>
      </c>
      <c r="Z55" s="23">
        <v>5.979538228828094</v>
      </c>
      <c r="AA55" s="14">
        <f t="shared" ref="AA55:AA99" si="37">G55*0.1*10000*1000*Z55/1000000</f>
        <v>8.3749851344832091</v>
      </c>
      <c r="AB55" s="24">
        <v>3456.1378811968953</v>
      </c>
      <c r="AC55" s="15">
        <f t="shared" ref="AC55:AC99" si="38">G55*0.1*10000*1000*AB55/1000000</f>
        <v>4840.6920852517287</v>
      </c>
      <c r="AD55" s="24">
        <v>163.9436884054264</v>
      </c>
      <c r="AE55" s="15">
        <f t="shared" ref="AE55:AE99" si="39">G55*0.1*10000*1000*AD55/1000000</f>
        <v>229.62073336503903</v>
      </c>
      <c r="AF55" s="24">
        <v>484.65852884854178</v>
      </c>
      <c r="AG55" s="15">
        <f t="shared" ref="AG55:AG99" si="40">G55*0.1*10000*1000*AF55/1000000</f>
        <v>678.81629301039663</v>
      </c>
      <c r="AH55" s="24">
        <v>13.935213514461244</v>
      </c>
      <c r="AI55" s="15">
        <f t="shared" ref="AI55:AI99" si="41">G55*0.1*10000*1000*AH55/1000000</f>
        <v>19.517762336028316</v>
      </c>
    </row>
    <row r="56" spans="1:35" x14ac:dyDescent="0.45">
      <c r="A56" s="11" t="s">
        <v>2</v>
      </c>
      <c r="B56" s="11" t="s">
        <v>3</v>
      </c>
      <c r="C56" s="18" t="s">
        <v>5</v>
      </c>
      <c r="D56" t="s">
        <v>64</v>
      </c>
      <c r="E56" t="s">
        <v>56</v>
      </c>
      <c r="F56" t="s">
        <v>43</v>
      </c>
      <c r="G56" s="12">
        <v>1.4006073402301149</v>
      </c>
      <c r="H56" s="21">
        <v>0.10047943200583158</v>
      </c>
      <c r="I56" s="13">
        <f t="shared" si="28"/>
        <v>1407.3223000952044</v>
      </c>
      <c r="J56" s="14">
        <v>97.961108690316195</v>
      </c>
      <c r="K56" s="14">
        <f t="shared" si="29"/>
        <v>137.20504788873697</v>
      </c>
      <c r="L56" s="22">
        <v>31531.231859695527</v>
      </c>
      <c r="M56" s="14">
        <f t="shared" si="30"/>
        <v>44162.874789187212</v>
      </c>
      <c r="N56" s="14">
        <v>106.12453441450921</v>
      </c>
      <c r="O56" s="14">
        <f t="shared" si="31"/>
        <v>148.63880187946503</v>
      </c>
      <c r="P56" s="23">
        <v>3.7824212664832815</v>
      </c>
      <c r="Q56" s="13">
        <f t="shared" si="32"/>
        <v>52.976869896789715</v>
      </c>
      <c r="R56" s="23">
        <v>0.89665027298105049</v>
      </c>
      <c r="S56" s="13">
        <f t="shared" si="33"/>
        <v>12.558549539565956</v>
      </c>
      <c r="T56" s="23">
        <v>11.834090418105429</v>
      </c>
      <c r="U56" s="14">
        <f t="shared" si="34"/>
        <v>16.574913904545337</v>
      </c>
      <c r="V56" s="23">
        <v>5.8993228321967246</v>
      </c>
      <c r="W56" s="14">
        <f t="shared" si="35"/>
        <v>8.2626348611618443</v>
      </c>
      <c r="X56" s="23">
        <v>12.762958050425604</v>
      </c>
      <c r="Y56" s="14">
        <f t="shared" si="36"/>
        <v>17.87589272847514</v>
      </c>
      <c r="Z56" s="23">
        <v>1.692273697056432</v>
      </c>
      <c r="AA56" s="14">
        <f t="shared" si="37"/>
        <v>2.3702109617755927</v>
      </c>
      <c r="AB56" s="24">
        <v>3033.4289186505252</v>
      </c>
      <c r="AC56" s="15">
        <f t="shared" si="38"/>
        <v>4248.6428095282263</v>
      </c>
      <c r="AD56" s="24">
        <v>136.75700449976233</v>
      </c>
      <c r="AE56" s="15">
        <f t="shared" si="39"/>
        <v>191.54286433024998</v>
      </c>
      <c r="AF56" s="24">
        <v>501.44234983246196</v>
      </c>
      <c r="AG56" s="15">
        <f t="shared" si="40"/>
        <v>702.32383587758341</v>
      </c>
      <c r="AH56" s="24">
        <v>11.991012713384958</v>
      </c>
      <c r="AI56" s="15">
        <f t="shared" si="41"/>
        <v>16.7947004231596</v>
      </c>
    </row>
    <row r="57" spans="1:35" x14ac:dyDescent="0.45">
      <c r="A57" s="11" t="s">
        <v>2</v>
      </c>
      <c r="B57" s="11" t="s">
        <v>3</v>
      </c>
      <c r="C57" s="18" t="s">
        <v>5</v>
      </c>
      <c r="D57" t="s">
        <v>64</v>
      </c>
      <c r="E57" t="s">
        <v>57</v>
      </c>
      <c r="F57" t="s">
        <v>43</v>
      </c>
      <c r="G57" s="12">
        <v>1.4006073402301149</v>
      </c>
      <c r="H57" s="21">
        <v>0.12456731514959631</v>
      </c>
      <c r="I57" s="13">
        <f t="shared" si="28"/>
        <v>1744.6989595128257</v>
      </c>
      <c r="J57" s="14">
        <v>121.04437027446124</v>
      </c>
      <c r="K57" s="14">
        <f t="shared" si="29"/>
        <v>169.53563349994235</v>
      </c>
      <c r="L57" s="22">
        <v>31650.126325863232</v>
      </c>
      <c r="M57" s="14">
        <f t="shared" si="30"/>
        <v>44329.39925121444</v>
      </c>
      <c r="N57" s="14">
        <v>121.04437027446124</v>
      </c>
      <c r="O57" s="14">
        <f t="shared" si="31"/>
        <v>169.53563349994235</v>
      </c>
      <c r="P57" s="23">
        <v>4.4455191980465196</v>
      </c>
      <c r="Q57" s="13">
        <f t="shared" si="32"/>
        <v>62.264268199178495</v>
      </c>
      <c r="R57" s="23">
        <v>1.2189326833353362</v>
      </c>
      <c r="S57" s="13">
        <f t="shared" si="33"/>
        <v>17.072460635258622</v>
      </c>
      <c r="T57" s="23">
        <v>17.571939707870964</v>
      </c>
      <c r="U57" s="14">
        <f t="shared" si="34"/>
        <v>24.611387736925096</v>
      </c>
      <c r="V57" s="23">
        <v>6.0629444838710116</v>
      </c>
      <c r="W57" s="14">
        <f t="shared" si="35"/>
        <v>8.4918045475174253</v>
      </c>
      <c r="X57" s="23">
        <v>29.828064668141334</v>
      </c>
      <c r="Y57" s="14">
        <f t="shared" si="36"/>
        <v>41.777406319057299</v>
      </c>
      <c r="Z57" s="23">
        <v>4.1163134790161058</v>
      </c>
      <c r="AA57" s="14">
        <f t="shared" si="37"/>
        <v>5.7653388733981199</v>
      </c>
      <c r="AB57" s="24">
        <v>3316.7260744872428</v>
      </c>
      <c r="AC57" s="15">
        <f t="shared" si="38"/>
        <v>4645.4308854594483</v>
      </c>
      <c r="AD57" s="24">
        <v>265.29711343180844</v>
      </c>
      <c r="AE57" s="15">
        <f t="shared" si="39"/>
        <v>371.57708441445232</v>
      </c>
      <c r="AF57" s="24">
        <v>492.69463923050142</v>
      </c>
      <c r="AG57" s="15">
        <f t="shared" si="40"/>
        <v>690.0717281982686</v>
      </c>
      <c r="AH57" s="24">
        <v>9.5158694354498081</v>
      </c>
      <c r="AI57" s="15">
        <f t="shared" si="41"/>
        <v>13.327996579962402</v>
      </c>
    </row>
    <row r="58" spans="1:35" x14ac:dyDescent="0.45">
      <c r="A58" s="11" t="s">
        <v>2</v>
      </c>
      <c r="B58" s="11" t="s">
        <v>3</v>
      </c>
      <c r="C58" s="10" t="s">
        <v>5</v>
      </c>
      <c r="D58" t="s">
        <v>64</v>
      </c>
      <c r="E58" t="s">
        <v>51</v>
      </c>
      <c r="F58" t="s">
        <v>44</v>
      </c>
      <c r="G58" s="12">
        <v>1.4006073402301149</v>
      </c>
      <c r="H58" s="21">
        <v>0.134381852469352</v>
      </c>
      <c r="I58" s="13">
        <f t="shared" si="28"/>
        <v>1882.1620896229481</v>
      </c>
      <c r="J58" s="14">
        <v>106.33056810151473</v>
      </c>
      <c r="K58" s="14">
        <f t="shared" si="29"/>
        <v>148.92737417381966</v>
      </c>
      <c r="L58" s="22">
        <v>27084.201308876396</v>
      </c>
      <c r="M58" s="14">
        <f t="shared" si="30"/>
        <v>37934.331157482367</v>
      </c>
      <c r="N58" s="14">
        <v>106.33056810151473</v>
      </c>
      <c r="O58" s="14">
        <f t="shared" si="31"/>
        <v>148.92737417381966</v>
      </c>
      <c r="P58" s="23">
        <v>4.5902304378283718</v>
      </c>
      <c r="Q58" s="13">
        <f t="shared" si="32"/>
        <v>64.291104445701123</v>
      </c>
      <c r="R58" s="23">
        <v>1.2659155691768826</v>
      </c>
      <c r="S58" s="13">
        <f t="shared" si="33"/>
        <v>17.730506383007256</v>
      </c>
      <c r="T58" s="23">
        <v>16.956727753551558</v>
      </c>
      <c r="U58" s="14">
        <f t="shared" si="34"/>
        <v>23.749717357908022</v>
      </c>
      <c r="V58" s="23">
        <v>5.4428582615471139</v>
      </c>
      <c r="W58" s="14">
        <f t="shared" si="35"/>
        <v>7.6233072329550104</v>
      </c>
      <c r="X58" s="23">
        <v>33.126010018779247</v>
      </c>
      <c r="Y58" s="14">
        <f t="shared" si="36"/>
        <v>46.396532784838541</v>
      </c>
      <c r="Z58" s="23">
        <v>5.6059401570241816</v>
      </c>
      <c r="AA58" s="14">
        <f t="shared" si="37"/>
        <v>7.8517209328188322</v>
      </c>
      <c r="AB58" s="24">
        <v>3041.9646251197828</v>
      </c>
      <c r="AC58" s="15">
        <f t="shared" si="38"/>
        <v>4260.5979826631183</v>
      </c>
      <c r="AD58" s="24">
        <v>261.18368469748538</v>
      </c>
      <c r="AE58" s="15">
        <f t="shared" si="39"/>
        <v>365.81578593564598</v>
      </c>
      <c r="AF58" s="24">
        <v>438.86626573703859</v>
      </c>
      <c r="AG58" s="15">
        <f t="shared" si="40"/>
        <v>614.67931317067644</v>
      </c>
      <c r="AH58" s="24">
        <v>12.136788322373857</v>
      </c>
      <c r="AI58" s="15">
        <f t="shared" si="41"/>
        <v>16.998874811135966</v>
      </c>
    </row>
    <row r="59" spans="1:35" x14ac:dyDescent="0.45">
      <c r="A59" s="11" t="s">
        <v>2</v>
      </c>
      <c r="B59" s="11" t="s">
        <v>3</v>
      </c>
      <c r="C59" s="10" t="s">
        <v>5</v>
      </c>
      <c r="D59" t="s">
        <v>64</v>
      </c>
      <c r="E59" t="s">
        <v>52</v>
      </c>
      <c r="F59" t="s">
        <v>44</v>
      </c>
      <c r="G59" s="12">
        <v>1.4006073402301149</v>
      </c>
      <c r="H59" s="21">
        <v>0.11597598710898421</v>
      </c>
      <c r="I59" s="13">
        <f t="shared" si="28"/>
        <v>1624.3681883527647</v>
      </c>
      <c r="J59" s="14">
        <v>129.98623696940791</v>
      </c>
      <c r="K59" s="14">
        <f t="shared" si="29"/>
        <v>182.05967762824386</v>
      </c>
      <c r="L59" s="22">
        <v>28482.278394767327</v>
      </c>
      <c r="M59" s="14">
        <f t="shared" si="30"/>
        <v>39892.488186188733</v>
      </c>
      <c r="N59" s="14">
        <v>107.0474892689242</v>
      </c>
      <c r="O59" s="14">
        <f t="shared" si="31"/>
        <v>149.93149922325969</v>
      </c>
      <c r="P59" s="23">
        <v>4.2179673693534099</v>
      </c>
      <c r="Q59" s="13">
        <f t="shared" si="32"/>
        <v>59.077160583674939</v>
      </c>
      <c r="R59" s="23">
        <v>1.1447295305580161</v>
      </c>
      <c r="S59" s="13">
        <f t="shared" si="33"/>
        <v>16.03316583077731</v>
      </c>
      <c r="T59" s="23">
        <v>13.316249470866639</v>
      </c>
      <c r="U59" s="14">
        <f t="shared" si="34"/>
        <v>18.650836753231196</v>
      </c>
      <c r="V59" s="23">
        <v>7.8064016273202839</v>
      </c>
      <c r="W59" s="14">
        <f t="shared" si="35"/>
        <v>10.933703420009104</v>
      </c>
      <c r="X59" s="23">
        <v>18.612949895474458</v>
      </c>
      <c r="Y59" s="14">
        <f t="shared" si="36"/>
        <v>26.069434246936876</v>
      </c>
      <c r="Z59" s="23">
        <v>1.6857011226090075</v>
      </c>
      <c r="AA59" s="14">
        <f t="shared" si="37"/>
        <v>2.3610053657603207</v>
      </c>
      <c r="AB59" s="24">
        <v>2983.657343823269</v>
      </c>
      <c r="AC59" s="15">
        <f t="shared" si="38"/>
        <v>4178.9323764903584</v>
      </c>
      <c r="AD59" s="24">
        <v>176.93664356796751</v>
      </c>
      <c r="AE59" s="15">
        <f t="shared" si="39"/>
        <v>247.81876173697486</v>
      </c>
      <c r="AF59" s="24">
        <v>463.06847288073777</v>
      </c>
      <c r="AG59" s="15">
        <f t="shared" si="40"/>
        <v>648.57710214591123</v>
      </c>
      <c r="AH59" s="24">
        <v>13.04275829729589</v>
      </c>
      <c r="AI59" s="15">
        <f t="shared" si="41"/>
        <v>18.267783008039864</v>
      </c>
    </row>
    <row r="60" spans="1:35" x14ac:dyDescent="0.45">
      <c r="A60" s="11" t="s">
        <v>2</v>
      </c>
      <c r="B60" s="11" t="s">
        <v>3</v>
      </c>
      <c r="C60" s="10" t="s">
        <v>5</v>
      </c>
      <c r="D60" t="s">
        <v>64</v>
      </c>
      <c r="E60" t="s">
        <v>53</v>
      </c>
      <c r="F60" t="s">
        <v>44</v>
      </c>
      <c r="G60" s="12">
        <v>1.4006073402301149</v>
      </c>
      <c r="H60" s="21">
        <v>0.12470886298551145</v>
      </c>
      <c r="I60" s="13">
        <f t="shared" si="28"/>
        <v>1746.6814888925901</v>
      </c>
      <c r="J60" s="14">
        <v>110.77557154272031</v>
      </c>
      <c r="K60" s="14">
        <f t="shared" si="29"/>
        <v>155.1530786209203</v>
      </c>
      <c r="L60" s="22">
        <v>28429.128979990172</v>
      </c>
      <c r="M60" s="14">
        <f t="shared" si="30"/>
        <v>39818.046725722917</v>
      </c>
      <c r="N60" s="14">
        <v>105.87399758065305</v>
      </c>
      <c r="O60" s="14">
        <f t="shared" si="31"/>
        <v>148.28789815096812</v>
      </c>
      <c r="P60" s="23">
        <v>3.657211380317253</v>
      </c>
      <c r="Q60" s="13">
        <f t="shared" si="32"/>
        <v>51.223171040454552</v>
      </c>
      <c r="R60" s="23">
        <v>1.2293147496864716</v>
      </c>
      <c r="S60" s="13">
        <f t="shared" si="33"/>
        <v>17.217872618640186</v>
      </c>
      <c r="T60" s="23">
        <v>29.396159260687487</v>
      </c>
      <c r="U60" s="14">
        <f t="shared" si="34"/>
        <v>41.172476435092371</v>
      </c>
      <c r="V60" s="23">
        <v>12.214886775552355</v>
      </c>
      <c r="W60" s="14">
        <f t="shared" si="35"/>
        <v>17.108260077918388</v>
      </c>
      <c r="X60" s="23">
        <v>19.497211959705187</v>
      </c>
      <c r="Y60" s="14">
        <f t="shared" si="36"/>
        <v>27.307938184785471</v>
      </c>
      <c r="Z60" s="23">
        <v>5.2141448318534298</v>
      </c>
      <c r="AA60" s="14">
        <f t="shared" si="37"/>
        <v>7.3029695245168318</v>
      </c>
      <c r="AB60" s="24">
        <v>3065.5553349099746</v>
      </c>
      <c r="AC60" s="15">
        <f t="shared" si="38"/>
        <v>4293.6393039564991</v>
      </c>
      <c r="AD60" s="24">
        <v>198.12069472148323</v>
      </c>
      <c r="AE60" s="15">
        <f t="shared" si="39"/>
        <v>277.48929927839924</v>
      </c>
      <c r="AF60" s="24">
        <v>546.03996350067337</v>
      </c>
      <c r="AG60" s="15">
        <f t="shared" si="40"/>
        <v>764.78758093802719</v>
      </c>
      <c r="AH60" s="24">
        <v>12.080530165944101</v>
      </c>
      <c r="AI60" s="15">
        <f t="shared" si="41"/>
        <v>16.920079224292635</v>
      </c>
    </row>
    <row r="61" spans="1:35" x14ac:dyDescent="0.45">
      <c r="A61" s="11" t="s">
        <v>2</v>
      </c>
      <c r="B61" s="11" t="s">
        <v>3</v>
      </c>
      <c r="C61" s="10" t="s">
        <v>5</v>
      </c>
      <c r="D61" t="s">
        <v>64</v>
      </c>
      <c r="E61" t="s">
        <v>54</v>
      </c>
      <c r="F61" t="s">
        <v>44</v>
      </c>
      <c r="G61" s="12">
        <v>1.4006073402301149</v>
      </c>
      <c r="H61" s="21">
        <v>0.14776597830318192</v>
      </c>
      <c r="I61" s="13">
        <f t="shared" si="28"/>
        <v>2069.621138477205</v>
      </c>
      <c r="J61" s="14">
        <v>155.71325372251906</v>
      </c>
      <c r="K61" s="14">
        <f t="shared" si="29"/>
        <v>218.09312613487447</v>
      </c>
      <c r="L61" s="22">
        <v>30037.58894389238</v>
      </c>
      <c r="M61" s="14">
        <f t="shared" si="30"/>
        <v>42070.867557630612</v>
      </c>
      <c r="N61" s="14">
        <v>121.55679806725679</v>
      </c>
      <c r="O61" s="14">
        <f t="shared" si="31"/>
        <v>170.25334362786973</v>
      </c>
      <c r="P61" s="23">
        <v>3.8862009722593078</v>
      </c>
      <c r="Q61" s="13">
        <f t="shared" si="32"/>
        <v>54.43041607355795</v>
      </c>
      <c r="R61" s="23">
        <v>1.3601703402907577</v>
      </c>
      <c r="S61" s="13">
        <f t="shared" si="33"/>
        <v>19.050645625745286</v>
      </c>
      <c r="T61" s="23">
        <v>20.656330545052921</v>
      </c>
      <c r="U61" s="14">
        <f t="shared" si="34"/>
        <v>28.931408183620654</v>
      </c>
      <c r="V61" s="23">
        <v>10.625039969104426</v>
      </c>
      <c r="W61" s="14">
        <f t="shared" si="35"/>
        <v>14.881508970966014</v>
      </c>
      <c r="X61" s="23">
        <v>15.849830265838344</v>
      </c>
      <c r="Y61" s="14">
        <f t="shared" si="36"/>
        <v>22.199388611734623</v>
      </c>
      <c r="Z61" s="23">
        <v>5.1078173796428619</v>
      </c>
      <c r="AA61" s="14">
        <f t="shared" si="37"/>
        <v>7.1540465144827436</v>
      </c>
      <c r="AB61" s="24">
        <v>3314.3325155466064</v>
      </c>
      <c r="AC61" s="15">
        <f t="shared" si="38"/>
        <v>4642.0784492379189</v>
      </c>
      <c r="AD61" s="24">
        <v>181.57867056206217</v>
      </c>
      <c r="AE61" s="15">
        <f t="shared" si="39"/>
        <v>254.32041881845018</v>
      </c>
      <c r="AF61" s="24">
        <v>560.38934535532985</v>
      </c>
      <c r="AG61" s="15">
        <f t="shared" si="40"/>
        <v>784.88543049142379</v>
      </c>
      <c r="AH61" s="24">
        <v>19.618844865326256</v>
      </c>
      <c r="AI61" s="15">
        <f t="shared" si="41"/>
        <v>27.478298125211857</v>
      </c>
    </row>
    <row r="62" spans="1:35" x14ac:dyDescent="0.45">
      <c r="A62" s="11" t="s">
        <v>2</v>
      </c>
      <c r="B62" s="11" t="s">
        <v>3</v>
      </c>
      <c r="C62" s="10" t="s">
        <v>5</v>
      </c>
      <c r="D62" t="s">
        <v>64</v>
      </c>
      <c r="E62" t="s">
        <v>55</v>
      </c>
      <c r="F62" t="s">
        <v>44</v>
      </c>
      <c r="G62" s="12">
        <v>1.4006073402301149</v>
      </c>
      <c r="H62" s="21">
        <v>0.13093954411765049</v>
      </c>
      <c r="I62" s="13">
        <f t="shared" si="28"/>
        <v>1833.9488661756625</v>
      </c>
      <c r="J62" s="14">
        <v>107.36740527246549</v>
      </c>
      <c r="K62" s="14">
        <f t="shared" si="29"/>
        <v>150.37957592607671</v>
      </c>
      <c r="L62" s="22">
        <v>29570.039484875742</v>
      </c>
      <c r="M62" s="14">
        <f t="shared" si="30"/>
        <v>41416.014353411294</v>
      </c>
      <c r="N62" s="14">
        <v>117.04807296096646</v>
      </c>
      <c r="O62" s="14">
        <f t="shared" si="31"/>
        <v>163.93839014891967</v>
      </c>
      <c r="P62" s="23">
        <v>3.7600417350696995</v>
      </c>
      <c r="Q62" s="13">
        <f t="shared" si="32"/>
        <v>52.663420537101985</v>
      </c>
      <c r="R62" s="23">
        <v>1.2771880893579142</v>
      </c>
      <c r="S62" s="13">
        <f t="shared" si="33"/>
        <v>17.888390128091704</v>
      </c>
      <c r="T62" s="23">
        <v>18.072604016771916</v>
      </c>
      <c r="U62" s="14">
        <f t="shared" si="34"/>
        <v>25.312621842963008</v>
      </c>
      <c r="V62" s="23">
        <v>8.175574110255166</v>
      </c>
      <c r="W62" s="14">
        <f t="shared" si="35"/>
        <v>11.450769109418678</v>
      </c>
      <c r="X62" s="23">
        <v>20.757910255929986</v>
      </c>
      <c r="Y62" s="14">
        <f t="shared" si="36"/>
        <v>29.073681472293522</v>
      </c>
      <c r="Z62" s="23">
        <v>8.5289002422709945</v>
      </c>
      <c r="AA62" s="14">
        <f t="shared" si="37"/>
        <v>11.945640283415161</v>
      </c>
      <c r="AB62" s="24">
        <v>3381.7937173900532</v>
      </c>
      <c r="AC62" s="15">
        <f t="shared" si="38"/>
        <v>4736.5651037205953</v>
      </c>
      <c r="AD62" s="24">
        <v>208.35695889133032</v>
      </c>
      <c r="AE62" s="15">
        <f t="shared" si="39"/>
        <v>291.82628601122161</v>
      </c>
      <c r="AF62" s="24">
        <v>548.94044938677405</v>
      </c>
      <c r="AG62" s="15">
        <f t="shared" si="40"/>
        <v>768.85002276033367</v>
      </c>
      <c r="AH62" s="24">
        <v>14.124197694075757</v>
      </c>
      <c r="AI62" s="15">
        <f t="shared" si="41"/>
        <v>19.782454965183767</v>
      </c>
    </row>
    <row r="63" spans="1:35" x14ac:dyDescent="0.45">
      <c r="A63" s="11" t="s">
        <v>2</v>
      </c>
      <c r="B63" s="11" t="s">
        <v>3</v>
      </c>
      <c r="C63" s="10" t="s">
        <v>5</v>
      </c>
      <c r="D63" t="s">
        <v>64</v>
      </c>
      <c r="E63" t="s">
        <v>56</v>
      </c>
      <c r="F63" t="s">
        <v>44</v>
      </c>
      <c r="G63" s="12">
        <v>1.4006073402301149</v>
      </c>
      <c r="H63" s="21">
        <v>0.11157181445971505</v>
      </c>
      <c r="I63" s="13">
        <f t="shared" si="28"/>
        <v>1562.6830229506936</v>
      </c>
      <c r="J63" s="14">
        <v>94.346647260847789</v>
      </c>
      <c r="K63" s="14">
        <f t="shared" si="29"/>
        <v>132.14260667964487</v>
      </c>
      <c r="L63" s="22">
        <v>30069.840517361114</v>
      </c>
      <c r="M63" s="14">
        <f t="shared" si="30"/>
        <v>42116.039348164893</v>
      </c>
      <c r="N63" s="14">
        <v>110.99605560099741</v>
      </c>
      <c r="O63" s="14">
        <f t="shared" si="31"/>
        <v>155.46189021134691</v>
      </c>
      <c r="P63" s="23">
        <v>3.69004368735414</v>
      </c>
      <c r="Q63" s="13">
        <f t="shared" si="32"/>
        <v>51.683022742780075</v>
      </c>
      <c r="R63" s="23">
        <v>1.1243900432381038</v>
      </c>
      <c r="S63" s="13">
        <f t="shared" si="33"/>
        <v>15.748289478409445</v>
      </c>
      <c r="T63" s="23">
        <v>13.889355952225326</v>
      </c>
      <c r="U63" s="14">
        <f t="shared" si="34"/>
        <v>19.45353389775563</v>
      </c>
      <c r="V63" s="23">
        <v>4.347364163003391</v>
      </c>
      <c r="W63" s="14">
        <f t="shared" si="35"/>
        <v>6.0889501573558995</v>
      </c>
      <c r="X63" s="23">
        <v>23.649266727993503</v>
      </c>
      <c r="Y63" s="14">
        <f t="shared" si="36"/>
        <v>33.123336570287535</v>
      </c>
      <c r="Z63" s="23">
        <v>6.8512881933953649</v>
      </c>
      <c r="AA63" s="14">
        <f t="shared" si="37"/>
        <v>9.5959645337014727</v>
      </c>
      <c r="AB63" s="24">
        <v>3328.1945279847869</v>
      </c>
      <c r="AC63" s="15">
        <f t="shared" si="38"/>
        <v>4661.4936856091954</v>
      </c>
      <c r="AD63" s="24">
        <v>255.54319164502357</v>
      </c>
      <c r="AE63" s="15">
        <f t="shared" si="39"/>
        <v>357.91566996385097</v>
      </c>
      <c r="AF63" s="24">
        <v>545.84025735377031</v>
      </c>
      <c r="AG63" s="15">
        <f t="shared" si="40"/>
        <v>764.50787104278561</v>
      </c>
      <c r="AH63" s="24">
        <v>12.777159582251176</v>
      </c>
      <c r="AI63" s="15">
        <f t="shared" si="41"/>
        <v>17.89578349819255</v>
      </c>
    </row>
    <row r="64" spans="1:35" x14ac:dyDescent="0.45">
      <c r="A64" s="11" t="s">
        <v>2</v>
      </c>
      <c r="B64" s="11" t="s">
        <v>3</v>
      </c>
      <c r="C64" s="18" t="s">
        <v>5</v>
      </c>
      <c r="D64" t="s">
        <v>64</v>
      </c>
      <c r="E64" t="s">
        <v>57</v>
      </c>
      <c r="F64" t="s">
        <v>44</v>
      </c>
      <c r="G64" s="12">
        <v>1.4006073402301149</v>
      </c>
      <c r="H64" s="21">
        <v>0.12282919147413568</v>
      </c>
      <c r="I64" s="13">
        <f t="shared" si="28"/>
        <v>1720.3546717320471</v>
      </c>
      <c r="J64" s="14">
        <v>125.68797724343415</v>
      </c>
      <c r="K64" s="14">
        <f t="shared" si="29"/>
        <v>176.03950350582952</v>
      </c>
      <c r="L64" s="22">
        <v>33956.026110121311</v>
      </c>
      <c r="M64" s="14">
        <f t="shared" si="30"/>
        <v>47559.059414881347</v>
      </c>
      <c r="N64" s="14">
        <v>119.60630092520346</v>
      </c>
      <c r="O64" s="14">
        <f t="shared" si="31"/>
        <v>167.52146301361194</v>
      </c>
      <c r="P64" s="23">
        <v>3.5905710176474108</v>
      </c>
      <c r="Q64" s="13">
        <f t="shared" si="32"/>
        <v>50.289801229344768</v>
      </c>
      <c r="R64" s="23">
        <v>1.0905459251307321</v>
      </c>
      <c r="S64" s="13">
        <f t="shared" si="33"/>
        <v>15.274266275961446</v>
      </c>
      <c r="T64" s="23">
        <v>18.457443490777624</v>
      </c>
      <c r="U64" s="14">
        <f t="shared" si="34"/>
        <v>25.851630835065695</v>
      </c>
      <c r="V64" s="23">
        <v>8.7313287858948136</v>
      </c>
      <c r="W64" s="14">
        <f t="shared" si="35"/>
        <v>12.229163187486773</v>
      </c>
      <c r="X64" s="23">
        <v>14.335164662039734</v>
      </c>
      <c r="Y64" s="14">
        <f t="shared" si="36"/>
        <v>20.077936849060208</v>
      </c>
      <c r="Z64" s="23">
        <v>2.9992361027254502</v>
      </c>
      <c r="AA64" s="14">
        <f t="shared" si="37"/>
        <v>4.2007521005604289</v>
      </c>
      <c r="AB64" s="24">
        <v>3424.2132643834302</v>
      </c>
      <c r="AC64" s="15">
        <f t="shared" si="38"/>
        <v>4795.9782326087561</v>
      </c>
      <c r="AD64" s="24">
        <v>136.85206073641262</v>
      </c>
      <c r="AE64" s="15">
        <f t="shared" si="39"/>
        <v>191.67600079303702</v>
      </c>
      <c r="AF64" s="24">
        <v>602.73141643483848</v>
      </c>
      <c r="AG64" s="15">
        <f t="shared" si="40"/>
        <v>844.19004604592897</v>
      </c>
      <c r="AH64" s="24">
        <v>21.061629205533002</v>
      </c>
      <c r="AI64" s="15">
        <f t="shared" si="41"/>
        <v>29.499072462474487</v>
      </c>
    </row>
    <row r="65" spans="1:35" x14ac:dyDescent="0.45">
      <c r="A65" s="11" t="s">
        <v>2</v>
      </c>
      <c r="B65" s="11" t="s">
        <v>3</v>
      </c>
      <c r="C65" s="10" t="s">
        <v>5</v>
      </c>
      <c r="D65" t="s">
        <v>64</v>
      </c>
      <c r="E65" t="s">
        <v>51</v>
      </c>
      <c r="F65" t="s">
        <v>45</v>
      </c>
      <c r="G65" s="12">
        <v>1.4006073402301149</v>
      </c>
      <c r="H65" s="21">
        <v>0.16019004926535885</v>
      </c>
      <c r="I65" s="13">
        <f t="shared" si="28"/>
        <v>2243.633588328853</v>
      </c>
      <c r="J65" s="14">
        <v>199.98590686492304</v>
      </c>
      <c r="K65" s="14">
        <f t="shared" si="29"/>
        <v>280.10172909758734</v>
      </c>
      <c r="L65" s="22">
        <v>26064.513927892811</v>
      </c>
      <c r="M65" s="14">
        <f t="shared" si="30"/>
        <v>36506.149526936737</v>
      </c>
      <c r="N65" s="14">
        <v>115.63166178919721</v>
      </c>
      <c r="O65" s="14">
        <f t="shared" si="31"/>
        <v>161.95455426495573</v>
      </c>
      <c r="P65" s="23">
        <v>4.5472530118804384</v>
      </c>
      <c r="Q65" s="13">
        <f t="shared" si="32"/>
        <v>63.6891594632324</v>
      </c>
      <c r="R65" s="23">
        <v>1.6423487176091878</v>
      </c>
      <c r="S65" s="13">
        <f t="shared" si="33"/>
        <v>23.002856691009448</v>
      </c>
      <c r="T65" s="23">
        <v>23.869232531337079</v>
      </c>
      <c r="U65" s="14">
        <f t="shared" si="34"/>
        <v>33.431422289050161</v>
      </c>
      <c r="V65" s="23">
        <v>6.9467929536070869</v>
      </c>
      <c r="W65" s="14">
        <f t="shared" si="35"/>
        <v>9.7297292018809269</v>
      </c>
      <c r="X65" s="23">
        <v>24.994131348545086</v>
      </c>
      <c r="Y65" s="14">
        <f t="shared" si="36"/>
        <v>35.006963829447876</v>
      </c>
      <c r="Z65" s="23">
        <v>8.9929764450966552</v>
      </c>
      <c r="AA65" s="14">
        <f t="shared" si="37"/>
        <v>12.595628819518902</v>
      </c>
      <c r="AB65" s="24">
        <v>3303.5509281501136</v>
      </c>
      <c r="AC65" s="15">
        <f t="shared" si="38"/>
        <v>4626.9776787910587</v>
      </c>
      <c r="AD65" s="24">
        <v>216.81516871498846</v>
      </c>
      <c r="AE65" s="15">
        <f t="shared" si="39"/>
        <v>303.67291677544364</v>
      </c>
      <c r="AF65" s="24">
        <v>457.72091173164233</v>
      </c>
      <c r="AG65" s="15">
        <f t="shared" si="40"/>
        <v>641.08726874815886</v>
      </c>
      <c r="AH65" s="24">
        <v>9.5733847442270257</v>
      </c>
      <c r="AI65" s="15">
        <f t="shared" si="41"/>
        <v>13.408552943611374</v>
      </c>
    </row>
    <row r="66" spans="1:35" x14ac:dyDescent="0.45">
      <c r="A66" s="11" t="s">
        <v>2</v>
      </c>
      <c r="B66" s="11" t="s">
        <v>3</v>
      </c>
      <c r="C66" s="18" t="s">
        <v>5</v>
      </c>
      <c r="D66" t="s">
        <v>64</v>
      </c>
      <c r="E66" t="s">
        <v>52</v>
      </c>
      <c r="F66" t="s">
        <v>45</v>
      </c>
      <c r="G66" s="12">
        <v>1.4006073402301149</v>
      </c>
      <c r="H66" s="21">
        <v>0.12269296184205872</v>
      </c>
      <c r="I66" s="13">
        <f t="shared" si="28"/>
        <v>1718.4466295056081</v>
      </c>
      <c r="J66" s="14">
        <v>111.10121634332739</v>
      </c>
      <c r="K66" s="14">
        <f t="shared" si="29"/>
        <v>155.60917911895837</v>
      </c>
      <c r="L66" s="22">
        <v>28684.314037731798</v>
      </c>
      <c r="M66" s="14">
        <f t="shared" si="30"/>
        <v>40175.460790712881</v>
      </c>
      <c r="N66" s="14">
        <v>99.385088074394673</v>
      </c>
      <c r="O66" s="14">
        <f t="shared" si="31"/>
        <v>139.19948386641366</v>
      </c>
      <c r="P66" s="23">
        <v>4.1682651344372257</v>
      </c>
      <c r="Q66" s="13">
        <f t="shared" si="32"/>
        <v>58.381027433180449</v>
      </c>
      <c r="R66" s="23">
        <v>1.1629974325713741</v>
      </c>
      <c r="S66" s="13">
        <f t="shared" si="33"/>
        <v>16.289027407282447</v>
      </c>
      <c r="T66" s="23">
        <v>17.23356614907884</v>
      </c>
      <c r="U66" s="14">
        <f t="shared" si="34"/>
        <v>24.137459246741059</v>
      </c>
      <c r="V66" s="23">
        <v>5.9213342235964115</v>
      </c>
      <c r="W66" s="14">
        <f t="shared" si="35"/>
        <v>8.2934641775249229</v>
      </c>
      <c r="X66" s="23">
        <v>21.514520733239291</v>
      </c>
      <c r="Y66" s="14">
        <f t="shared" si="36"/>
        <v>30.133395660507947</v>
      </c>
      <c r="Z66" s="23">
        <v>6.8080056133604199</v>
      </c>
      <c r="AA66" s="14">
        <f t="shared" si="37"/>
        <v>9.5353426344004308</v>
      </c>
      <c r="AB66" s="24">
        <v>2560.8949191967272</v>
      </c>
      <c r="AC66" s="15">
        <f t="shared" si="38"/>
        <v>3586.8082213849434</v>
      </c>
      <c r="AD66" s="24">
        <v>184.65081568676166</v>
      </c>
      <c r="AE66" s="15">
        <f t="shared" si="39"/>
        <v>258.62328783035645</v>
      </c>
      <c r="AF66" s="24">
        <v>494.42021686619239</v>
      </c>
      <c r="AG66" s="15">
        <f t="shared" si="40"/>
        <v>692.48858490095438</v>
      </c>
      <c r="AH66" s="24">
        <v>7.2044088743359467</v>
      </c>
      <c r="AI66" s="15">
        <f t="shared" si="41"/>
        <v>10.090547951413907</v>
      </c>
    </row>
    <row r="67" spans="1:35" x14ac:dyDescent="0.45">
      <c r="A67" s="11" t="s">
        <v>2</v>
      </c>
      <c r="B67" s="11" t="s">
        <v>3</v>
      </c>
      <c r="C67" s="18" t="s">
        <v>5</v>
      </c>
      <c r="D67" t="s">
        <v>64</v>
      </c>
      <c r="E67" t="s">
        <v>53</v>
      </c>
      <c r="F67" t="s">
        <v>45</v>
      </c>
      <c r="G67" s="12">
        <v>1.4006073402301149</v>
      </c>
      <c r="H67" s="21">
        <v>0.11270781189638283</v>
      </c>
      <c r="I67" s="13">
        <f t="shared" si="28"/>
        <v>1578.5938864334887</v>
      </c>
      <c r="J67" s="14">
        <v>114.05824451798527</v>
      </c>
      <c r="K67" s="14">
        <f t="shared" si="29"/>
        <v>159.75081448565143</v>
      </c>
      <c r="L67" s="22">
        <v>28997.858775758967</v>
      </c>
      <c r="M67" s="14">
        <f t="shared" si="30"/>
        <v>40614.613852284267</v>
      </c>
      <c r="N67" s="14">
        <v>195.25224909011035</v>
      </c>
      <c r="O67" s="14">
        <f t="shared" si="31"/>
        <v>273.47173327204735</v>
      </c>
      <c r="P67" s="23">
        <v>3.8451160736656389</v>
      </c>
      <c r="Q67" s="13">
        <f t="shared" si="32"/>
        <v>53.854977968128935</v>
      </c>
      <c r="R67" s="23">
        <v>1.2714517150254379</v>
      </c>
      <c r="S67" s="13">
        <f t="shared" si="33"/>
        <v>17.808046048127963</v>
      </c>
      <c r="T67" s="23">
        <v>26.973030361956901</v>
      </c>
      <c r="U67" s="14">
        <f t="shared" si="34"/>
        <v>37.778624313206592</v>
      </c>
      <c r="V67" s="23">
        <v>6.5297205735710602</v>
      </c>
      <c r="W67" s="14">
        <f t="shared" si="35"/>
        <v>9.1455745649952238</v>
      </c>
      <c r="X67" s="23">
        <v>15.720396640996222</v>
      </c>
      <c r="Y67" s="14">
        <f t="shared" si="36"/>
        <v>22.018102926708153</v>
      </c>
      <c r="Z67" s="23">
        <v>5.2275508638126702</v>
      </c>
      <c r="AA67" s="14">
        <f t="shared" si="37"/>
        <v>7.3217461112823043</v>
      </c>
      <c r="AB67" s="24">
        <v>2765.4677957265808</v>
      </c>
      <c r="AC67" s="15">
        <f t="shared" si="38"/>
        <v>3873.3344938646455</v>
      </c>
      <c r="AD67" s="24">
        <v>145.76257011281507</v>
      </c>
      <c r="AE67" s="15">
        <f t="shared" si="39"/>
        <v>204.15612563081555</v>
      </c>
      <c r="AF67" s="24">
        <v>547.8662118033393</v>
      </c>
      <c r="AG67" s="15">
        <f t="shared" si="40"/>
        <v>767.34543771582389</v>
      </c>
      <c r="AH67" s="24">
        <v>10.957324236066787</v>
      </c>
      <c r="AI67" s="15">
        <f t="shared" si="41"/>
        <v>15.346908754316479</v>
      </c>
    </row>
    <row r="68" spans="1:35" x14ac:dyDescent="0.45">
      <c r="A68" s="11" t="s">
        <v>2</v>
      </c>
      <c r="B68" s="11" t="s">
        <v>3</v>
      </c>
      <c r="C68" s="18" t="s">
        <v>5</v>
      </c>
      <c r="D68" t="s">
        <v>64</v>
      </c>
      <c r="E68" t="s">
        <v>54</v>
      </c>
      <c r="F68" t="s">
        <v>45</v>
      </c>
      <c r="G68" s="12">
        <v>1.4006073402301149</v>
      </c>
      <c r="H68" s="21">
        <v>0.18702098217308444</v>
      </c>
      <c r="I68" s="13">
        <f t="shared" si="28"/>
        <v>2619.4296040866757</v>
      </c>
      <c r="J68" s="14">
        <v>258.5826484860325</v>
      </c>
      <c r="K68" s="14">
        <f t="shared" si="29"/>
        <v>362.17275552568071</v>
      </c>
      <c r="L68" s="22">
        <v>32528.055384949323</v>
      </c>
      <c r="M68" s="14">
        <f t="shared" si="30"/>
        <v>45559.033135571743</v>
      </c>
      <c r="N68" s="14">
        <v>138.52641883180311</v>
      </c>
      <c r="O68" s="14">
        <f t="shared" si="31"/>
        <v>194.02111903161466</v>
      </c>
      <c r="P68" s="23">
        <v>4.1946907833620637</v>
      </c>
      <c r="Q68" s="13">
        <f t="shared" si="32"/>
        <v>58.751147011725173</v>
      </c>
      <c r="R68" s="23">
        <v>1.9272903599231104</v>
      </c>
      <c r="S68" s="13">
        <f t="shared" si="33"/>
        <v>26.993770248630486</v>
      </c>
      <c r="T68" s="23">
        <v>26.759002841372592</v>
      </c>
      <c r="U68" s="14">
        <f t="shared" si="34"/>
        <v>37.478855796864956</v>
      </c>
      <c r="V68" s="23">
        <v>5.3843155429518177</v>
      </c>
      <c r="W68" s="14">
        <f t="shared" si="35"/>
        <v>7.5413118715734129</v>
      </c>
      <c r="X68" s="23">
        <v>35.247147477793121</v>
      </c>
      <c r="Y68" s="14">
        <f t="shared" si="36"/>
        <v>49.367413479570423</v>
      </c>
      <c r="Z68" s="23">
        <v>15.597269935810598</v>
      </c>
      <c r="AA68" s="14">
        <f t="shared" si="37"/>
        <v>21.845650759646819</v>
      </c>
      <c r="AB68" s="24">
        <v>3112.5223994480175</v>
      </c>
      <c r="AC68" s="15">
        <f t="shared" si="38"/>
        <v>4359.4217192975439</v>
      </c>
      <c r="AD68" s="24">
        <v>309.19096683258454</v>
      </c>
      <c r="AE68" s="15">
        <f t="shared" si="39"/>
        <v>433.05513767856394</v>
      </c>
      <c r="AF68" s="24">
        <v>632.81084545068961</v>
      </c>
      <c r="AG68" s="15">
        <f t="shared" si="40"/>
        <v>886.31951511546072</v>
      </c>
      <c r="AH68" s="24">
        <v>7.0598604093440125</v>
      </c>
      <c r="AI68" s="15">
        <f t="shared" si="41"/>
        <v>9.8880923103272078</v>
      </c>
    </row>
    <row r="69" spans="1:35" x14ac:dyDescent="0.45">
      <c r="A69" s="11" t="s">
        <v>2</v>
      </c>
      <c r="B69" s="11" t="s">
        <v>3</v>
      </c>
      <c r="C69" s="10" t="s">
        <v>5</v>
      </c>
      <c r="D69" t="s">
        <v>64</v>
      </c>
      <c r="E69" t="s">
        <v>55</v>
      </c>
      <c r="F69" t="s">
        <v>45</v>
      </c>
      <c r="G69" s="12">
        <v>1.4006073402301149</v>
      </c>
      <c r="H69" s="21">
        <v>0.17183989617428352</v>
      </c>
      <c r="I69" s="13">
        <f t="shared" si="28"/>
        <v>2406.8021992608233</v>
      </c>
      <c r="J69" s="14">
        <v>162.12367846954189</v>
      </c>
      <c r="K69" s="14">
        <f t="shared" si="29"/>
        <v>227.07161408954744</v>
      </c>
      <c r="L69" s="22">
        <v>30967.444202047325</v>
      </c>
      <c r="M69" s="14">
        <f t="shared" si="30"/>
        <v>43373.229657554002</v>
      </c>
      <c r="N69" s="14">
        <v>122.04816244336298</v>
      </c>
      <c r="O69" s="14">
        <f t="shared" si="31"/>
        <v>170.94155217977163</v>
      </c>
      <c r="P69" s="23">
        <v>4.5810249504950491</v>
      </c>
      <c r="Q69" s="13">
        <f t="shared" si="32"/>
        <v>64.162171714406654</v>
      </c>
      <c r="R69" s="23">
        <v>1.8984427722772277</v>
      </c>
      <c r="S69" s="13">
        <f t="shared" si="33"/>
        <v>26.589728818582934</v>
      </c>
      <c r="T69" s="23">
        <v>33.138718878878294</v>
      </c>
      <c r="U69" s="14">
        <f t="shared" si="34"/>
        <v>46.414332907579229</v>
      </c>
      <c r="V69" s="23">
        <v>5.7958335544894695</v>
      </c>
      <c r="W69" s="14">
        <f t="shared" si="35"/>
        <v>8.1176870191699493</v>
      </c>
      <c r="X69" s="23">
        <v>34.91682433397979</v>
      </c>
      <c r="Y69" s="14">
        <f t="shared" si="36"/>
        <v>48.904760459697592</v>
      </c>
      <c r="Z69" s="23">
        <v>10.542176856860943</v>
      </c>
      <c r="AA69" s="14">
        <f t="shared" si="37"/>
        <v>14.765450287723478</v>
      </c>
      <c r="AB69" s="24">
        <v>3601.0529994175881</v>
      </c>
      <c r="AC69" s="15">
        <f t="shared" si="38"/>
        <v>5043.6612635419451</v>
      </c>
      <c r="AD69" s="24">
        <v>317.62096680256258</v>
      </c>
      <c r="AE69" s="15">
        <f t="shared" si="39"/>
        <v>444.8622575146548</v>
      </c>
      <c r="AF69" s="24">
        <v>549.26173558532321</v>
      </c>
      <c r="AG69" s="15">
        <f t="shared" si="40"/>
        <v>769.30001856833621</v>
      </c>
      <c r="AH69" s="24">
        <v>11.025695981362842</v>
      </c>
      <c r="AI69" s="15">
        <f t="shared" si="41"/>
        <v>15.442670722642477</v>
      </c>
    </row>
    <row r="70" spans="1:35" x14ac:dyDescent="0.45">
      <c r="A70" s="11" t="s">
        <v>2</v>
      </c>
      <c r="B70" s="11" t="s">
        <v>3</v>
      </c>
      <c r="C70" s="10" t="s">
        <v>5</v>
      </c>
      <c r="D70" t="s">
        <v>64</v>
      </c>
      <c r="E70" t="s">
        <v>56</v>
      </c>
      <c r="F70" t="s">
        <v>45</v>
      </c>
      <c r="G70" s="12">
        <v>1.4006073402301149</v>
      </c>
      <c r="H70" s="21">
        <v>0.12320060401273385</v>
      </c>
      <c r="I70" s="13">
        <f t="shared" si="28"/>
        <v>1725.5567030101877</v>
      </c>
      <c r="J70" s="14">
        <v>95.023688719795544</v>
      </c>
      <c r="K70" s="14">
        <f t="shared" si="29"/>
        <v>133.09087591668722</v>
      </c>
      <c r="L70" s="22">
        <v>31385.737105018587</v>
      </c>
      <c r="M70" s="14">
        <f t="shared" si="30"/>
        <v>43959.093767821709</v>
      </c>
      <c r="N70" s="14">
        <v>111.67930994423789</v>
      </c>
      <c r="O70" s="14">
        <f t="shared" si="31"/>
        <v>156.41886125973366</v>
      </c>
      <c r="P70" s="23">
        <v>3.9572215624999996</v>
      </c>
      <c r="Q70" s="13">
        <f t="shared" si="32"/>
        <v>55.425135673543835</v>
      </c>
      <c r="R70" s="23">
        <v>1.2120285937499999</v>
      </c>
      <c r="S70" s="13">
        <f t="shared" si="33"/>
        <v>16.97576144975034</v>
      </c>
      <c r="T70" s="23">
        <v>17.504237834593255</v>
      </c>
      <c r="U70" s="14">
        <f t="shared" si="34"/>
        <v>24.516563996265006</v>
      </c>
      <c r="V70" s="23">
        <v>12.734736997635931</v>
      </c>
      <c r="W70" s="14">
        <f t="shared" si="35"/>
        <v>17.836366114788902</v>
      </c>
      <c r="X70" s="23">
        <v>21.761006627828433</v>
      </c>
      <c r="Y70" s="14">
        <f t="shared" si="36"/>
        <v>30.478625613732685</v>
      </c>
      <c r="Z70" s="23">
        <v>4.668070783277849</v>
      </c>
      <c r="AA70" s="14">
        <f t="shared" si="37"/>
        <v>6.5381342037726977</v>
      </c>
      <c r="AB70" s="24">
        <v>3092.4186342592589</v>
      </c>
      <c r="AC70" s="15">
        <f t="shared" si="38"/>
        <v>4331.2642382079057</v>
      </c>
      <c r="AD70" s="24">
        <v>207.18437499999999</v>
      </c>
      <c r="AE70" s="15">
        <f t="shared" si="39"/>
        <v>290.18395640598868</v>
      </c>
      <c r="AF70" s="24">
        <v>585.10402199074076</v>
      </c>
      <c r="AG70" s="15">
        <f t="shared" si="40"/>
        <v>819.50098799839418</v>
      </c>
      <c r="AH70" s="24">
        <v>16.881689814814816</v>
      </c>
      <c r="AI70" s="15">
        <f t="shared" si="41"/>
        <v>23.644618670117602</v>
      </c>
    </row>
    <row r="71" spans="1:35" x14ac:dyDescent="0.45">
      <c r="A71" s="11" t="s">
        <v>2</v>
      </c>
      <c r="B71" s="11" t="s">
        <v>3</v>
      </c>
      <c r="C71" s="10" t="s">
        <v>5</v>
      </c>
      <c r="D71" t="s">
        <v>64</v>
      </c>
      <c r="E71" t="s">
        <v>57</v>
      </c>
      <c r="F71" t="s">
        <v>45</v>
      </c>
      <c r="G71" s="12">
        <v>1.4006073402301149</v>
      </c>
      <c r="H71" s="21">
        <v>0.18152034495075434</v>
      </c>
      <c r="I71" s="13">
        <f t="shared" si="28"/>
        <v>2542.3872753912901</v>
      </c>
      <c r="J71" s="14">
        <v>209.41112671018786</v>
      </c>
      <c r="K71" s="14">
        <f t="shared" si="29"/>
        <v>293.3027611961478</v>
      </c>
      <c r="L71" s="22">
        <v>31411.669006528184</v>
      </c>
      <c r="M71" s="14">
        <f t="shared" si="30"/>
        <v>43995.41417942218</v>
      </c>
      <c r="N71" s="14">
        <v>132.06107089831667</v>
      </c>
      <c r="O71" s="14">
        <f t="shared" si="31"/>
        <v>184.96570525883195</v>
      </c>
      <c r="P71" s="23">
        <v>4.2521495254521779</v>
      </c>
      <c r="Q71" s="13">
        <f t="shared" si="32"/>
        <v>59.555918371043198</v>
      </c>
      <c r="R71" s="23">
        <v>1.8456572280739669</v>
      </c>
      <c r="S71" s="13">
        <f t="shared" si="33"/>
        <v>25.850410611891654</v>
      </c>
      <c r="T71" s="23">
        <v>23.639125307506724</v>
      </c>
      <c r="U71" s="14">
        <f t="shared" si="34"/>
        <v>33.109132422313394</v>
      </c>
      <c r="V71" s="23">
        <v>10.563342752139134</v>
      </c>
      <c r="W71" s="14">
        <f t="shared" si="35"/>
        <v>14.795095396012654</v>
      </c>
      <c r="X71" s="23">
        <v>39.672103042808253</v>
      </c>
      <c r="Y71" s="14">
        <f t="shared" si="36"/>
        <v>55.565038724122715</v>
      </c>
      <c r="Z71" s="23">
        <v>17.751181241376663</v>
      </c>
      <c r="AA71" s="14">
        <f t="shared" si="37"/>
        <v>24.862434744427279</v>
      </c>
      <c r="AB71" s="24">
        <v>3473.2234904222018</v>
      </c>
      <c r="AC71" s="15">
        <f t="shared" si="38"/>
        <v>4864.622314944997</v>
      </c>
      <c r="AD71" s="24">
        <v>325.67973412287279</v>
      </c>
      <c r="AE71" s="15">
        <f t="shared" si="39"/>
        <v>456.14942617668788</v>
      </c>
      <c r="AF71" s="24">
        <v>619.10364793325641</v>
      </c>
      <c r="AG71" s="15">
        <f t="shared" si="40"/>
        <v>867.12111365855981</v>
      </c>
      <c r="AH71" s="24">
        <v>13.630685357858251</v>
      </c>
      <c r="AI71" s="15">
        <f t="shared" si="41"/>
        <v>19.091237964583421</v>
      </c>
    </row>
    <row r="72" spans="1:35" x14ac:dyDescent="0.45">
      <c r="A72" s="11" t="s">
        <v>2</v>
      </c>
      <c r="B72" s="11" t="s">
        <v>3</v>
      </c>
      <c r="C72" s="10" t="s">
        <v>5</v>
      </c>
      <c r="D72" t="s">
        <v>64</v>
      </c>
      <c r="E72" t="s">
        <v>51</v>
      </c>
      <c r="F72" t="s">
        <v>46</v>
      </c>
      <c r="G72" s="12">
        <v>1.4006073402301149</v>
      </c>
      <c r="H72" s="21">
        <v>0.12144296600736744</v>
      </c>
      <c r="I72" s="13">
        <f t="shared" si="28"/>
        <v>1700.9390960923515</v>
      </c>
      <c r="J72" s="14">
        <v>117.4921581282978</v>
      </c>
      <c r="K72" s="14">
        <f t="shared" si="29"/>
        <v>164.56037909397128</v>
      </c>
      <c r="L72" s="22">
        <v>28056.317070291807</v>
      </c>
      <c r="M72" s="14">
        <f t="shared" si="30"/>
        <v>39295.883628474185</v>
      </c>
      <c r="N72" s="14">
        <v>105.33779694261183</v>
      </c>
      <c r="O72" s="14">
        <f t="shared" si="31"/>
        <v>147.53689160149148</v>
      </c>
      <c r="P72" s="23">
        <v>4.1668755938349964</v>
      </c>
      <c r="Q72" s="13">
        <f t="shared" si="32"/>
        <v>58.36156542551015</v>
      </c>
      <c r="R72" s="23">
        <v>1.1978487579329102</v>
      </c>
      <c r="S72" s="13">
        <f t="shared" si="33"/>
        <v>16.777157628463602</v>
      </c>
      <c r="T72" s="23">
        <v>11.192509230487236</v>
      </c>
      <c r="U72" s="14">
        <f t="shared" si="34"/>
        <v>15.676310583813738</v>
      </c>
      <c r="V72" s="23">
        <v>3.8280517144435096</v>
      </c>
      <c r="W72" s="14">
        <f t="shared" si="35"/>
        <v>5.3615973300300555</v>
      </c>
      <c r="X72" s="23">
        <v>8.53252579508856</v>
      </c>
      <c r="Y72" s="14">
        <f t="shared" si="36"/>
        <v>11.950718259303834</v>
      </c>
      <c r="Z72" s="23">
        <v>0.98723438951437892</v>
      </c>
      <c r="AA72" s="14">
        <f t="shared" si="37"/>
        <v>1.3827277324814355</v>
      </c>
      <c r="AB72" s="24">
        <v>3111.1055303717139</v>
      </c>
      <c r="AC72" s="15">
        <f t="shared" si="38"/>
        <v>4357.437242069127</v>
      </c>
      <c r="AD72" s="24">
        <v>102.69364460562105</v>
      </c>
      <c r="AE72" s="15">
        <f t="shared" si="39"/>
        <v>143.8334724296156</v>
      </c>
      <c r="AF72" s="24">
        <v>501.45421577515867</v>
      </c>
      <c r="AG72" s="15">
        <f t="shared" si="40"/>
        <v>702.34045540402315</v>
      </c>
      <c r="AH72" s="24">
        <v>14.834687216681777</v>
      </c>
      <c r="AI72" s="15">
        <f t="shared" si="41"/>
        <v>20.777571805702351</v>
      </c>
    </row>
    <row r="73" spans="1:35" x14ac:dyDescent="0.45">
      <c r="A73" s="11" t="s">
        <v>2</v>
      </c>
      <c r="B73" s="11" t="s">
        <v>3</v>
      </c>
      <c r="C73" s="10" t="s">
        <v>5</v>
      </c>
      <c r="D73" t="s">
        <v>64</v>
      </c>
      <c r="E73" t="s">
        <v>52</v>
      </c>
      <c r="F73" t="s">
        <v>46</v>
      </c>
      <c r="G73" s="12">
        <v>1.4006073402301149</v>
      </c>
      <c r="H73" s="21">
        <v>9.1515052328494689E-2</v>
      </c>
      <c r="I73" s="13">
        <f t="shared" si="28"/>
        <v>1281.7665403283274</v>
      </c>
      <c r="J73" s="14">
        <v>58.778793601440483</v>
      </c>
      <c r="K73" s="14">
        <f t="shared" si="29"/>
        <v>82.326009768048451</v>
      </c>
      <c r="L73" s="22">
        <v>26079.328219069157</v>
      </c>
      <c r="M73" s="14">
        <f t="shared" si="30"/>
        <v>36526.898531898638</v>
      </c>
      <c r="N73" s="14">
        <v>87.666664859486332</v>
      </c>
      <c r="O73" s="14">
        <f t="shared" si="31"/>
        <v>122.78657429569004</v>
      </c>
      <c r="P73" s="23">
        <v>3.4479479838431333</v>
      </c>
      <c r="Q73" s="13">
        <f t="shared" si="32"/>
        <v>48.292212549023176</v>
      </c>
      <c r="R73" s="23">
        <v>0.89769059934377438</v>
      </c>
      <c r="S73" s="13">
        <f t="shared" si="33"/>
        <v>12.573120426964614</v>
      </c>
      <c r="T73" s="23">
        <v>10.667478204744832</v>
      </c>
      <c r="U73" s="14">
        <f t="shared" si="34"/>
        <v>14.94094827531038</v>
      </c>
      <c r="V73" s="23">
        <v>3.2815626893498755</v>
      </c>
      <c r="W73" s="14">
        <f t="shared" si="35"/>
        <v>4.5961807901287122</v>
      </c>
      <c r="X73" s="23">
        <v>13.528896486154087</v>
      </c>
      <c r="Y73" s="14">
        <f t="shared" si="36"/>
        <v>18.948671723720825</v>
      </c>
      <c r="Z73" s="23">
        <v>0.75496074141484859</v>
      </c>
      <c r="AA73" s="14">
        <f t="shared" si="37"/>
        <v>1.0574035560112067</v>
      </c>
      <c r="AB73" s="24">
        <v>2632.4901736321954</v>
      </c>
      <c r="AC73" s="15">
        <f t="shared" si="38"/>
        <v>3687.0850602729029</v>
      </c>
      <c r="AD73" s="24">
        <v>141.56530787425012</v>
      </c>
      <c r="AE73" s="15">
        <f t="shared" si="39"/>
        <v>198.27740933061082</v>
      </c>
      <c r="AF73" s="24">
        <v>452.80080092131476</v>
      </c>
      <c r="AG73" s="15">
        <f t="shared" si="40"/>
        <v>634.19612543246842</v>
      </c>
      <c r="AH73" s="24">
        <v>11.450135195711407</v>
      </c>
      <c r="AI73" s="15">
        <f t="shared" si="41"/>
        <v>16.037143401740583</v>
      </c>
    </row>
    <row r="74" spans="1:35" x14ac:dyDescent="0.45">
      <c r="A74" s="11" t="s">
        <v>2</v>
      </c>
      <c r="B74" s="11" t="s">
        <v>3</v>
      </c>
      <c r="C74" s="10" t="s">
        <v>5</v>
      </c>
      <c r="D74" t="s">
        <v>64</v>
      </c>
      <c r="E74" t="s">
        <v>53</v>
      </c>
      <c r="F74" t="s">
        <v>46</v>
      </c>
      <c r="G74" s="12">
        <v>1.4006073402301149</v>
      </c>
      <c r="H74" s="21">
        <v>0.15777875679877454</v>
      </c>
      <c r="I74" s="13">
        <f t="shared" si="28"/>
        <v>2209.8608490474576</v>
      </c>
      <c r="J74" s="14">
        <v>193.09969949992458</v>
      </c>
      <c r="K74" s="14">
        <f t="shared" si="29"/>
        <v>270.45685651582386</v>
      </c>
      <c r="L74" s="22">
        <v>27693.322757550162</v>
      </c>
      <c r="M74" s="14">
        <f t="shared" si="30"/>
        <v>38787.471129586447</v>
      </c>
      <c r="N74" s="14">
        <v>116.80176945361293</v>
      </c>
      <c r="O74" s="14">
        <f t="shared" si="31"/>
        <v>163.59341564859591</v>
      </c>
      <c r="P74" s="23">
        <v>4.2364849535603701</v>
      </c>
      <c r="Q74" s="13">
        <f t="shared" si="32"/>
        <v>59.336519227310916</v>
      </c>
      <c r="R74" s="23">
        <v>1.743831578947368</v>
      </c>
      <c r="S74" s="13">
        <f t="shared" si="33"/>
        <v>24.424233095987546</v>
      </c>
      <c r="T74" s="23">
        <v>18.960727326710384</v>
      </c>
      <c r="U74" s="14">
        <f t="shared" si="34"/>
        <v>26.556533869892288</v>
      </c>
      <c r="V74" s="23">
        <v>5.2240761602873471</v>
      </c>
      <c r="W74" s="14">
        <f t="shared" si="35"/>
        <v>7.3168794160196127</v>
      </c>
      <c r="X74" s="23">
        <v>40.627387833907548</v>
      </c>
      <c r="Y74" s="14">
        <f t="shared" si="36"/>
        <v>56.903017614546584</v>
      </c>
      <c r="Z74" s="23">
        <v>16.128606881481939</v>
      </c>
      <c r="AA74" s="14">
        <f t="shared" si="37"/>
        <v>22.589845185889551</v>
      </c>
      <c r="AB74" s="24">
        <v>3108.9124077161218</v>
      </c>
      <c r="AC74" s="15">
        <f t="shared" si="38"/>
        <v>4354.3655383796804</v>
      </c>
      <c r="AD74" s="24">
        <v>322.52993569897581</v>
      </c>
      <c r="AE74" s="15">
        <f t="shared" si="39"/>
        <v>451.73779538393251</v>
      </c>
      <c r="AF74" s="24">
        <v>566.15346511074051</v>
      </c>
      <c r="AG74" s="15">
        <f t="shared" si="40"/>
        <v>792.95869893081749</v>
      </c>
      <c r="AH74" s="24">
        <v>8.9558771135984738</v>
      </c>
      <c r="AI74" s="15">
        <f t="shared" si="41"/>
        <v>12.543667223504917</v>
      </c>
    </row>
    <row r="75" spans="1:35" x14ac:dyDescent="0.45">
      <c r="A75" s="11" t="s">
        <v>2</v>
      </c>
      <c r="B75" s="11" t="s">
        <v>3</v>
      </c>
      <c r="C75" s="18" t="s">
        <v>5</v>
      </c>
      <c r="D75" t="s">
        <v>64</v>
      </c>
      <c r="E75" t="s">
        <v>54</v>
      </c>
      <c r="F75" t="s">
        <v>46</v>
      </c>
      <c r="G75" s="12">
        <v>1.4006073402301149</v>
      </c>
      <c r="H75" s="21">
        <v>0.11387511648123518</v>
      </c>
      <c r="I75" s="13">
        <f t="shared" si="28"/>
        <v>1594.9432401317733</v>
      </c>
      <c r="J75" s="14">
        <v>144.37252793121837</v>
      </c>
      <c r="K75" s="14">
        <f t="shared" si="29"/>
        <v>202.20922234804175</v>
      </c>
      <c r="L75" s="22">
        <v>31231.608083079889</v>
      </c>
      <c r="M75" s="14">
        <f t="shared" si="30"/>
        <v>43743.219528351881</v>
      </c>
      <c r="N75" s="14">
        <v>108.03386443832667</v>
      </c>
      <c r="O75" s="14">
        <f t="shared" si="31"/>
        <v>151.31302352574554</v>
      </c>
      <c r="P75" s="23">
        <v>3.3701360436744072</v>
      </c>
      <c r="Q75" s="13">
        <f t="shared" si="32"/>
        <v>47.20237280344454</v>
      </c>
      <c r="R75" s="23">
        <v>1.1677675044950833</v>
      </c>
      <c r="S75" s="13">
        <f t="shared" si="33"/>
        <v>16.355837384780173</v>
      </c>
      <c r="T75" s="23">
        <v>13.935090646348765</v>
      </c>
      <c r="U75" s="14">
        <f t="shared" si="34"/>
        <v>19.517590246048098</v>
      </c>
      <c r="V75" s="23">
        <v>169.82703998171013</v>
      </c>
      <c r="W75" s="14">
        <f t="shared" si="35"/>
        <v>237.86099876793642</v>
      </c>
      <c r="X75" s="23">
        <v>34.476534119903214</v>
      </c>
      <c r="Y75" s="14">
        <f t="shared" si="36"/>
        <v>48.288086754030452</v>
      </c>
      <c r="Z75" s="23">
        <v>3.5935495660336492</v>
      </c>
      <c r="AA75" s="14">
        <f t="shared" si="37"/>
        <v>5.0331518996674731</v>
      </c>
      <c r="AB75" s="24">
        <v>2797.2838333046866</v>
      </c>
      <c r="AC75" s="15">
        <f t="shared" si="38"/>
        <v>3917.8962696335775</v>
      </c>
      <c r="AD75" s="24">
        <v>333.90113362334114</v>
      </c>
      <c r="AE75" s="15">
        <f t="shared" si="39"/>
        <v>467.66437866400804</v>
      </c>
      <c r="AF75" s="24">
        <v>609.68968056887365</v>
      </c>
      <c r="AG75" s="15">
        <f t="shared" si="40"/>
        <v>853.93584186731846</v>
      </c>
      <c r="AH75" s="24">
        <v>17.827759641836209</v>
      </c>
      <c r="AI75" s="15">
        <f t="shared" si="41"/>
        <v>24.969691014214</v>
      </c>
    </row>
    <row r="76" spans="1:35" x14ac:dyDescent="0.45">
      <c r="A76" s="11" t="s">
        <v>2</v>
      </c>
      <c r="B76" s="11" t="s">
        <v>3</v>
      </c>
      <c r="C76" s="18" t="s">
        <v>5</v>
      </c>
      <c r="D76" t="s">
        <v>64</v>
      </c>
      <c r="E76" t="s">
        <v>55</v>
      </c>
      <c r="F76" t="s">
        <v>46</v>
      </c>
      <c r="G76" s="12">
        <v>1.4006073402301149</v>
      </c>
      <c r="H76" s="21">
        <v>0.18943101430292261</v>
      </c>
      <c r="I76" s="13">
        <f t="shared" si="28"/>
        <v>2653.1846909990932</v>
      </c>
      <c r="J76" s="14">
        <v>197.20386923727534</v>
      </c>
      <c r="K76" s="14">
        <f t="shared" si="29"/>
        <v>276.20518677550763</v>
      </c>
      <c r="L76" s="22">
        <v>32121.86736029846</v>
      </c>
      <c r="M76" s="14">
        <f t="shared" si="30"/>
        <v>44990.123206732169</v>
      </c>
      <c r="N76" s="14">
        <v>130.11389310500644</v>
      </c>
      <c r="O76" s="14">
        <f t="shared" si="31"/>
        <v>182.23847374878858</v>
      </c>
      <c r="P76" s="23">
        <v>4.0254595588235293</v>
      </c>
      <c r="Q76" s="13">
        <f t="shared" si="32"/>
        <v>56.380882058877148</v>
      </c>
      <c r="R76" s="23">
        <v>1.9714430147058821</v>
      </c>
      <c r="S76" s="13">
        <f t="shared" si="33"/>
        <v>27.612175572424448</v>
      </c>
      <c r="T76" s="23">
        <v>20.845941977819997</v>
      </c>
      <c r="U76" s="14">
        <f t="shared" si="34"/>
        <v>29.196979348145767</v>
      </c>
      <c r="V76" s="23">
        <v>434.44516556000821</v>
      </c>
      <c r="W76" s="14">
        <f t="shared" si="35"/>
        <v>608.48708781083496</v>
      </c>
      <c r="X76" s="23">
        <v>67.0935589551584</v>
      </c>
      <c r="Y76" s="14">
        <f t="shared" si="36"/>
        <v>93.97173115475681</v>
      </c>
      <c r="Z76" s="23">
        <v>3.6852184309825371</v>
      </c>
      <c r="AA76" s="14">
        <f t="shared" si="37"/>
        <v>5.1615439847854487</v>
      </c>
      <c r="AB76" s="24">
        <v>4163.3876179415656</v>
      </c>
      <c r="AC76" s="15">
        <f t="shared" si="38"/>
        <v>5831.2712579121307</v>
      </c>
      <c r="AD76" s="24">
        <v>393.91302052655561</v>
      </c>
      <c r="AE76" s="15">
        <f t="shared" si="39"/>
        <v>551.71746796170976</v>
      </c>
      <c r="AF76" s="24">
        <v>467.04043770351518</v>
      </c>
      <c r="AG76" s="15">
        <f t="shared" si="40"/>
        <v>654.14026523182918</v>
      </c>
      <c r="AH76" s="24">
        <v>19.695651026327781</v>
      </c>
      <c r="AI76" s="15">
        <f t="shared" si="41"/>
        <v>27.585873398085486</v>
      </c>
    </row>
    <row r="77" spans="1:35" x14ac:dyDescent="0.45">
      <c r="A77" s="11" t="s">
        <v>2</v>
      </c>
      <c r="B77" s="11" t="s">
        <v>3</v>
      </c>
      <c r="C77" s="18" t="s">
        <v>5</v>
      </c>
      <c r="D77" t="s">
        <v>64</v>
      </c>
      <c r="E77" t="s">
        <v>56</v>
      </c>
      <c r="F77" t="s">
        <v>46</v>
      </c>
      <c r="G77" s="12">
        <v>1.4006073402301149</v>
      </c>
      <c r="H77" s="21">
        <v>0.13419795047414915</v>
      </c>
      <c r="I77" s="13">
        <f t="shared" si="28"/>
        <v>1879.5863447793074</v>
      </c>
      <c r="J77" s="14">
        <v>153.61757735948422</v>
      </c>
      <c r="K77" s="14">
        <f t="shared" si="29"/>
        <v>215.1579064380611</v>
      </c>
      <c r="L77" s="22">
        <v>32084.683878879616</v>
      </c>
      <c r="M77" s="14">
        <f t="shared" si="30"/>
        <v>44938.043749721626</v>
      </c>
      <c r="N77" s="14">
        <v>120.56063033275979</v>
      </c>
      <c r="O77" s="14">
        <f t="shared" si="31"/>
        <v>168.8581037868328</v>
      </c>
      <c r="P77" s="23">
        <v>3.6365364066210866</v>
      </c>
      <c r="Q77" s="13">
        <f t="shared" si="32"/>
        <v>50.933595841275398</v>
      </c>
      <c r="R77" s="23">
        <v>1.2702268011859572</v>
      </c>
      <c r="S77" s="13">
        <f t="shared" si="33"/>
        <v>17.790889814980705</v>
      </c>
      <c r="T77" s="23">
        <v>16.834543205489368</v>
      </c>
      <c r="U77" s="14">
        <f t="shared" si="34"/>
        <v>23.57858478302942</v>
      </c>
      <c r="V77" s="23">
        <v>4.961028976584732</v>
      </c>
      <c r="W77" s="14">
        <f t="shared" si="35"/>
        <v>6.9484535996988708</v>
      </c>
      <c r="X77" s="23">
        <v>35.297436051792509</v>
      </c>
      <c r="Y77" s="14">
        <f t="shared" si="36"/>
        <v>49.437848025443678</v>
      </c>
      <c r="Z77" s="23">
        <v>12.374060780676857</v>
      </c>
      <c r="AA77" s="14">
        <f t="shared" si="37"/>
        <v>17.331200357869591</v>
      </c>
      <c r="AB77" s="24">
        <v>2925.2712471012569</v>
      </c>
      <c r="AC77" s="15">
        <f t="shared" si="38"/>
        <v>4097.1563808541232</v>
      </c>
      <c r="AD77" s="24">
        <v>299.58179273253705</v>
      </c>
      <c r="AE77" s="15">
        <f t="shared" si="39"/>
        <v>419.5964579004883</v>
      </c>
      <c r="AF77" s="24">
        <v>576.93654923007944</v>
      </c>
      <c r="AG77" s="15">
        <f t="shared" si="40"/>
        <v>808.06156569868233</v>
      </c>
      <c r="AH77" s="24">
        <v>9.605945225036832</v>
      </c>
      <c r="AI77" s="15">
        <f t="shared" si="41"/>
        <v>13.454157392035011</v>
      </c>
    </row>
    <row r="78" spans="1:35" x14ac:dyDescent="0.45">
      <c r="A78" s="11" t="s">
        <v>2</v>
      </c>
      <c r="B78" s="11" t="s">
        <v>3</v>
      </c>
      <c r="C78" s="18" t="s">
        <v>5</v>
      </c>
      <c r="D78" t="s">
        <v>64</v>
      </c>
      <c r="E78" t="s">
        <v>57</v>
      </c>
      <c r="F78" t="s">
        <v>46</v>
      </c>
      <c r="G78" s="12">
        <v>1.4006073402301149</v>
      </c>
      <c r="H78" s="21">
        <v>0.12207943977775773</v>
      </c>
      <c r="I78" s="13">
        <f t="shared" si="28"/>
        <v>1709.8535944390776</v>
      </c>
      <c r="J78" s="14">
        <v>134.32927458857188</v>
      </c>
      <c r="K78" s="14">
        <f t="shared" si="29"/>
        <v>188.14256799654044</v>
      </c>
      <c r="L78" s="22">
        <v>33632.070230323923</v>
      </c>
      <c r="M78" s="14">
        <f t="shared" si="30"/>
        <v>47105.324431726418</v>
      </c>
      <c r="N78" s="14">
        <v>116.41870464342897</v>
      </c>
      <c r="O78" s="14">
        <f t="shared" si="31"/>
        <v>163.0568922636684</v>
      </c>
      <c r="P78" s="23">
        <v>3.4572076642944838</v>
      </c>
      <c r="Q78" s="13">
        <f t="shared" si="32"/>
        <v>48.421904313106651</v>
      </c>
      <c r="R78" s="23">
        <v>1.1592417390661027</v>
      </c>
      <c r="S78" s="13">
        <f t="shared" si="33"/>
        <v>16.236424888371072</v>
      </c>
      <c r="T78" s="23">
        <v>12.939430355876972</v>
      </c>
      <c r="U78" s="14">
        <f t="shared" si="34"/>
        <v>18.123061134837656</v>
      </c>
      <c r="V78" s="23">
        <v>6.5005704686101407</v>
      </c>
      <c r="W78" s="14">
        <f t="shared" si="35"/>
        <v>9.1047467140184803</v>
      </c>
      <c r="X78" s="23">
        <v>20.479853670699661</v>
      </c>
      <c r="Y78" s="14">
        <f t="shared" si="36"/>
        <v>28.684233378020611</v>
      </c>
      <c r="Z78" s="23">
        <v>6.1745230469870611</v>
      </c>
      <c r="AA78" s="14">
        <f t="shared" si="37"/>
        <v>8.6480823020300921</v>
      </c>
      <c r="AB78" s="24">
        <v>3419.5921506374716</v>
      </c>
      <c r="AC78" s="15">
        <f t="shared" si="38"/>
        <v>4789.5058667761277</v>
      </c>
      <c r="AD78" s="24">
        <v>244.40026253085455</v>
      </c>
      <c r="AE78" s="15">
        <f t="shared" si="39"/>
        <v>342.30880165488202</v>
      </c>
      <c r="AF78" s="24">
        <v>621.56116149822276</v>
      </c>
      <c r="AG78" s="15">
        <f t="shared" si="40"/>
        <v>870.56312519636674</v>
      </c>
      <c r="AH78" s="24">
        <v>18.103723150433673</v>
      </c>
      <c r="AI78" s="15">
        <f t="shared" si="41"/>
        <v>25.356207529991266</v>
      </c>
    </row>
    <row r="79" spans="1:35" x14ac:dyDescent="0.45">
      <c r="A79" s="11" t="s">
        <v>2</v>
      </c>
      <c r="B79" s="11" t="s">
        <v>3</v>
      </c>
      <c r="C79" s="18" t="s">
        <v>5</v>
      </c>
      <c r="D79" t="s">
        <v>64</v>
      </c>
      <c r="E79" t="s">
        <v>51</v>
      </c>
      <c r="F79" t="s">
        <v>47</v>
      </c>
      <c r="G79" s="12">
        <v>1.4006073402301149</v>
      </c>
      <c r="H79" s="21">
        <v>0.13545171212125981</v>
      </c>
      <c r="I79" s="13">
        <f t="shared" si="28"/>
        <v>1897.1466224377291</v>
      </c>
      <c r="J79" s="14">
        <v>109.96596574270265</v>
      </c>
      <c r="K79" s="14">
        <f t="shared" si="29"/>
        <v>154.01913879472269</v>
      </c>
      <c r="L79" s="22">
        <v>29034.873411011846</v>
      </c>
      <c r="M79" s="14">
        <f t="shared" si="30"/>
        <v>40666.45682211539</v>
      </c>
      <c r="N79" s="14">
        <v>105.14289706977713</v>
      </c>
      <c r="O79" s="14">
        <f t="shared" si="31"/>
        <v>147.26391340898931</v>
      </c>
      <c r="P79" s="23">
        <v>3.5631056466302371</v>
      </c>
      <c r="Q79" s="13">
        <f t="shared" si="32"/>
        <v>49.905119226856804</v>
      </c>
      <c r="R79" s="23">
        <v>1.276183970856102</v>
      </c>
      <c r="S79" s="13">
        <f t="shared" si="33"/>
        <v>17.874326370650714</v>
      </c>
      <c r="T79" s="23">
        <v>16.533351558253354</v>
      </c>
      <c r="U79" s="14">
        <f t="shared" si="34"/>
        <v>23.156733551094657</v>
      </c>
      <c r="V79" s="23">
        <v>358.73589211634828</v>
      </c>
      <c r="W79" s="14">
        <f t="shared" si="35"/>
        <v>502.44812370215607</v>
      </c>
      <c r="X79" s="23">
        <v>54.25630562564541</v>
      </c>
      <c r="Y79" s="14">
        <f t="shared" si="36"/>
        <v>75.991779913047452</v>
      </c>
      <c r="Z79" s="23">
        <v>2.0183305922679162</v>
      </c>
      <c r="AA79" s="14">
        <f t="shared" si="37"/>
        <v>2.826888642541439</v>
      </c>
      <c r="AB79" s="24">
        <v>2979.1509091207909</v>
      </c>
      <c r="AC79" s="15">
        <f t="shared" si="38"/>
        <v>4172.6206309678</v>
      </c>
      <c r="AD79" s="24">
        <v>334.17449342440449</v>
      </c>
      <c r="AE79" s="15">
        <f t="shared" si="39"/>
        <v>468.04724840790124</v>
      </c>
      <c r="AF79" s="24">
        <v>466.47231340180804</v>
      </c>
      <c r="AG79" s="15">
        <f t="shared" si="40"/>
        <v>653.34454616469498</v>
      </c>
      <c r="AH79" s="24">
        <v>17.149717404478238</v>
      </c>
      <c r="AI79" s="15">
        <f t="shared" si="41"/>
        <v>24.020020079584373</v>
      </c>
    </row>
    <row r="80" spans="1:35" x14ac:dyDescent="0.45">
      <c r="A80" s="11" t="s">
        <v>2</v>
      </c>
      <c r="B80" s="11" t="s">
        <v>3</v>
      </c>
      <c r="C80" s="18" t="s">
        <v>5</v>
      </c>
      <c r="D80" t="s">
        <v>64</v>
      </c>
      <c r="E80" t="s">
        <v>52</v>
      </c>
      <c r="F80" t="s">
        <v>47</v>
      </c>
      <c r="G80" s="12">
        <v>1.4006073402301149</v>
      </c>
      <c r="H80" s="21">
        <v>0.18141752877232903</v>
      </c>
      <c r="I80" s="13">
        <f t="shared" si="28"/>
        <v>2540.9472244493209</v>
      </c>
      <c r="J80" s="14">
        <v>164.18990195609084</v>
      </c>
      <c r="K80" s="14">
        <f t="shared" si="29"/>
        <v>229.96558187136372</v>
      </c>
      <c r="L80" s="22">
        <v>28377.329875648069</v>
      </c>
      <c r="M80" s="14">
        <f t="shared" si="30"/>
        <v>39745.496519964021</v>
      </c>
      <c r="N80" s="14">
        <v>114.83802391148549</v>
      </c>
      <c r="O80" s="14">
        <f t="shared" si="31"/>
        <v>160.84297922794804</v>
      </c>
      <c r="P80" s="23">
        <v>4.3010161715873556</v>
      </c>
      <c r="Q80" s="13">
        <f t="shared" si="32"/>
        <v>60.240348203736772</v>
      </c>
      <c r="R80" s="23">
        <v>1.8125711008832428</v>
      </c>
      <c r="S80" s="13">
        <f t="shared" si="33"/>
        <v>25.387003885860498</v>
      </c>
      <c r="T80" s="23">
        <v>27.904465488392521</v>
      </c>
      <c r="U80" s="14">
        <f t="shared" si="34"/>
        <v>39.083199188240485</v>
      </c>
      <c r="V80" s="23">
        <v>127.99562891474281</v>
      </c>
      <c r="W80" s="14">
        <f t="shared" si="35"/>
        <v>179.27161737535874</v>
      </c>
      <c r="X80" s="23">
        <v>27.151170026410888</v>
      </c>
      <c r="Y80" s="14">
        <f t="shared" si="36"/>
        <v>38.02812803482697</v>
      </c>
      <c r="Z80" s="23">
        <v>3.3998988996637616</v>
      </c>
      <c r="AA80" s="14">
        <f t="shared" si="37"/>
        <v>4.7619233549093556</v>
      </c>
      <c r="AB80" s="24">
        <v>3497.2323767174812</v>
      </c>
      <c r="AC80" s="15">
        <f t="shared" si="38"/>
        <v>4898.2493373209154</v>
      </c>
      <c r="AD80" s="24">
        <v>234.75896893435024</v>
      </c>
      <c r="AE80" s="15">
        <f t="shared" si="39"/>
        <v>328.80513507430447</v>
      </c>
      <c r="AF80" s="24">
        <v>529.41528796717671</v>
      </c>
      <c r="AG80" s="15">
        <f t="shared" si="40"/>
        <v>741.50293835686784</v>
      </c>
      <c r="AH80" s="24">
        <v>18.065813658733948</v>
      </c>
      <c r="AI80" s="15">
        <f t="shared" si="41"/>
        <v>25.303111217652233</v>
      </c>
    </row>
    <row r="81" spans="1:35" x14ac:dyDescent="0.45">
      <c r="A81" s="11" t="s">
        <v>2</v>
      </c>
      <c r="B81" s="11" t="s">
        <v>3</v>
      </c>
      <c r="C81" s="18" t="s">
        <v>5</v>
      </c>
      <c r="D81" t="s">
        <v>64</v>
      </c>
      <c r="E81" t="s">
        <v>53</v>
      </c>
      <c r="F81" t="s">
        <v>47</v>
      </c>
      <c r="G81" s="12">
        <v>1.4006073402301149</v>
      </c>
      <c r="H81" s="21">
        <v>9.6188573657125395E-2</v>
      </c>
      <c r="I81" s="13">
        <f t="shared" si="28"/>
        <v>1347.224223104349</v>
      </c>
      <c r="J81" s="14">
        <v>59.898574189900636</v>
      </c>
      <c r="K81" s="14">
        <f t="shared" si="29"/>
        <v>83.894382679692939</v>
      </c>
      <c r="L81" s="22">
        <v>29664.055789284124</v>
      </c>
      <c r="M81" s="14">
        <f t="shared" si="30"/>
        <v>41547.694279466981</v>
      </c>
      <c r="N81" s="14">
        <v>94.221407971732589</v>
      </c>
      <c r="O81" s="14">
        <f t="shared" si="31"/>
        <v>131.96719561202494</v>
      </c>
      <c r="P81" s="23">
        <v>3.6965977214338683</v>
      </c>
      <c r="Q81" s="13">
        <f t="shared" si="32"/>
        <v>51.774819025181934</v>
      </c>
      <c r="R81" s="23">
        <v>0.95495441137041603</v>
      </c>
      <c r="S81" s="13">
        <f t="shared" si="33"/>
        <v>13.375161581505333</v>
      </c>
      <c r="T81" s="23">
        <v>13.151789317275711</v>
      </c>
      <c r="U81" s="14">
        <f t="shared" si="34"/>
        <v>18.420492654936375</v>
      </c>
      <c r="V81" s="23">
        <v>530.9326420588709</v>
      </c>
      <c r="W81" s="14">
        <f t="shared" si="35"/>
        <v>743.62815563542279</v>
      </c>
      <c r="X81" s="23">
        <v>80.247585938656854</v>
      </c>
      <c r="Y81" s="14">
        <f t="shared" si="36"/>
        <v>112.39535790142976</v>
      </c>
      <c r="Z81" s="23">
        <v>0.99473004882265659</v>
      </c>
      <c r="AA81" s="14">
        <f t="shared" si="37"/>
        <v>1.3932262079284734</v>
      </c>
      <c r="AB81" s="24">
        <v>2594.8062339064959</v>
      </c>
      <c r="AC81" s="15">
        <f t="shared" si="38"/>
        <v>3634.3046576842989</v>
      </c>
      <c r="AD81" s="24">
        <v>331.66696222864982</v>
      </c>
      <c r="AE81" s="15">
        <f t="shared" si="39"/>
        <v>464.53518180927119</v>
      </c>
      <c r="AF81" s="24">
        <v>516.49684830034323</v>
      </c>
      <c r="AG81" s="15">
        <f t="shared" si="40"/>
        <v>723.40927693518086</v>
      </c>
      <c r="AH81" s="24">
        <v>13.246141835138028</v>
      </c>
      <c r="AI81" s="15">
        <f t="shared" si="41"/>
        <v>18.552643484023527</v>
      </c>
    </row>
    <row r="82" spans="1:35" x14ac:dyDescent="0.45">
      <c r="A82" s="11" t="s">
        <v>2</v>
      </c>
      <c r="B82" s="11" t="s">
        <v>3</v>
      </c>
      <c r="C82" s="18" t="s">
        <v>5</v>
      </c>
      <c r="D82" t="s">
        <v>64</v>
      </c>
      <c r="E82" t="s">
        <v>54</v>
      </c>
      <c r="F82" t="s">
        <v>47</v>
      </c>
      <c r="G82" s="12">
        <v>1.4006073402301149</v>
      </c>
      <c r="H82" s="21">
        <v>0.13982316068869258</v>
      </c>
      <c r="I82" s="13">
        <f t="shared" si="28"/>
        <v>1958.3734519475765</v>
      </c>
      <c r="J82" s="14">
        <v>112.72286714780329</v>
      </c>
      <c r="K82" s="14">
        <f t="shared" si="29"/>
        <v>157.88047513899738</v>
      </c>
      <c r="L82" s="22">
        <v>30425.198654938056</v>
      </c>
      <c r="M82" s="14">
        <f t="shared" si="30"/>
        <v>42613.756564065668</v>
      </c>
      <c r="N82" s="14">
        <v>113.7204146446865</v>
      </c>
      <c r="O82" s="14">
        <f t="shared" si="31"/>
        <v>159.27764748536018</v>
      </c>
      <c r="P82" s="23">
        <v>3.6926415201625344</v>
      </c>
      <c r="Q82" s="13">
        <f t="shared" si="32"/>
        <v>51.719408179781361</v>
      </c>
      <c r="R82" s="23">
        <v>1.2171276518971481</v>
      </c>
      <c r="S82" s="13">
        <f t="shared" si="33"/>
        <v>17.047179232441898</v>
      </c>
      <c r="T82" s="23">
        <v>21.121184771686565</v>
      </c>
      <c r="U82" s="14">
        <f t="shared" si="34"/>
        <v>29.582486425580729</v>
      </c>
      <c r="V82" s="23">
        <v>12.722218727686464</v>
      </c>
      <c r="W82" s="14">
        <f t="shared" si="35"/>
        <v>17.818832934010697</v>
      </c>
      <c r="X82" s="23">
        <v>33.617440144905039</v>
      </c>
      <c r="Y82" s="14">
        <f t="shared" si="36"/>
        <v>47.084833426700541</v>
      </c>
      <c r="Z82" s="23">
        <v>17.92410601756745</v>
      </c>
      <c r="AA82" s="14">
        <f t="shared" si="37"/>
        <v>25.104634455267746</v>
      </c>
      <c r="AB82" s="24">
        <v>2906.3018208311764</v>
      </c>
      <c r="AC82" s="15">
        <f t="shared" si="38"/>
        <v>4070.5876631802939</v>
      </c>
      <c r="AD82" s="24">
        <v>285.16948972664989</v>
      </c>
      <c r="AE82" s="15">
        <f t="shared" si="39"/>
        <v>399.4104805208222</v>
      </c>
      <c r="AF82" s="24">
        <v>628.99086031906461</v>
      </c>
      <c r="AG82" s="15">
        <f t="shared" si="40"/>
        <v>880.96921590053694</v>
      </c>
      <c r="AH82" s="24">
        <v>9.8696958146528466</v>
      </c>
      <c r="AI82" s="15">
        <f t="shared" si="41"/>
        <v>13.823568403841222</v>
      </c>
    </row>
    <row r="83" spans="1:35" x14ac:dyDescent="0.45">
      <c r="A83" s="11" t="s">
        <v>2</v>
      </c>
      <c r="B83" s="11" t="s">
        <v>3</v>
      </c>
      <c r="C83" s="10" t="s">
        <v>5</v>
      </c>
      <c r="D83" t="s">
        <v>64</v>
      </c>
      <c r="E83" t="s">
        <v>55</v>
      </c>
      <c r="F83" t="s">
        <v>47</v>
      </c>
      <c r="G83" s="12">
        <v>1.4006073402301149</v>
      </c>
      <c r="H83" s="21">
        <v>0.13953558960050935</v>
      </c>
      <c r="I83" s="13">
        <f t="shared" si="28"/>
        <v>1954.345710178103</v>
      </c>
      <c r="J83" s="14">
        <v>108.05546043696772</v>
      </c>
      <c r="K83" s="14">
        <f t="shared" si="29"/>
        <v>151.34327103996179</v>
      </c>
      <c r="L83" s="22">
        <v>30115.45702919193</v>
      </c>
      <c r="M83" s="14">
        <f t="shared" si="30"/>
        <v>42179.930169470834</v>
      </c>
      <c r="N83" s="14">
        <v>111.05700100466127</v>
      </c>
      <c r="O83" s="14">
        <f t="shared" si="31"/>
        <v>155.54725079107183</v>
      </c>
      <c r="P83" s="23">
        <v>4.4295535081794295</v>
      </c>
      <c r="Q83" s="13">
        <f t="shared" si="32"/>
        <v>62.040651574981659</v>
      </c>
      <c r="R83" s="23">
        <v>1.493686648107017</v>
      </c>
      <c r="S83" s="13">
        <f t="shared" si="33"/>
        <v>20.920684833424048</v>
      </c>
      <c r="T83" s="23">
        <v>24.049153760051198</v>
      </c>
      <c r="U83" s="14">
        <f t="shared" si="34"/>
        <v>33.683421282650372</v>
      </c>
      <c r="V83" s="23">
        <v>1165.5596219113102</v>
      </c>
      <c r="W83" s="14">
        <f t="shared" si="35"/>
        <v>1632.4913619248184</v>
      </c>
      <c r="X83" s="23">
        <v>152.06189291738409</v>
      </c>
      <c r="Y83" s="14">
        <f t="shared" si="36"/>
        <v>212.9790033893739</v>
      </c>
      <c r="Z83" s="23">
        <v>1.1815452338993604</v>
      </c>
      <c r="AA83" s="14">
        <f t="shared" si="37"/>
        <v>1.6548809274133522</v>
      </c>
      <c r="AB83" s="24">
        <v>3662.1076096692732</v>
      </c>
      <c r="AC83" s="15">
        <f t="shared" si="38"/>
        <v>5129.1747988153447</v>
      </c>
      <c r="AD83" s="24">
        <v>619.10736242228779</v>
      </c>
      <c r="AE83" s="15">
        <f t="shared" si="39"/>
        <v>867.12631619916237</v>
      </c>
      <c r="AF83" s="24">
        <v>467.67844016592119</v>
      </c>
      <c r="AG83" s="15">
        <f t="shared" si="40"/>
        <v>655.03385616375988</v>
      </c>
      <c r="AH83" s="24">
        <v>23.589947752862546</v>
      </c>
      <c r="AI83" s="15">
        <f t="shared" si="41"/>
        <v>33.040253978304186</v>
      </c>
    </row>
    <row r="84" spans="1:35" x14ac:dyDescent="0.45">
      <c r="A84" s="11" t="s">
        <v>2</v>
      </c>
      <c r="B84" s="11" t="s">
        <v>3</v>
      </c>
      <c r="C84" s="18" t="s">
        <v>5</v>
      </c>
      <c r="D84" t="s">
        <v>64</v>
      </c>
      <c r="E84" t="s">
        <v>56</v>
      </c>
      <c r="F84" t="s">
        <v>47</v>
      </c>
      <c r="G84" s="12">
        <v>1.4006073402301149</v>
      </c>
      <c r="H84" s="21">
        <v>0.14533529926103847</v>
      </c>
      <c r="I84" s="13">
        <f t="shared" si="28"/>
        <v>2035.5768693955088</v>
      </c>
      <c r="J84" s="14">
        <v>129.27493493998307</v>
      </c>
      <c r="K84" s="14">
        <f t="shared" si="29"/>
        <v>181.06342278471087</v>
      </c>
      <c r="L84" s="22">
        <v>31926.99150790491</v>
      </c>
      <c r="M84" s="14">
        <f t="shared" si="30"/>
        <v>44717.178657436161</v>
      </c>
      <c r="N84" s="14">
        <v>122.41944596589309</v>
      </c>
      <c r="O84" s="14">
        <f t="shared" si="31"/>
        <v>171.46157460673379</v>
      </c>
      <c r="P84" s="23">
        <v>3.6343336679236407</v>
      </c>
      <c r="Q84" s="13">
        <f t="shared" si="32"/>
        <v>50.902744121392878</v>
      </c>
      <c r="R84" s="23">
        <v>1.459858748632249</v>
      </c>
      <c r="S84" s="13">
        <f t="shared" si="33"/>
        <v>20.446888790334782</v>
      </c>
      <c r="T84" s="23">
        <v>22.083244352455885</v>
      </c>
      <c r="U84" s="14">
        <f t="shared" si="34"/>
        <v>30.929954136144946</v>
      </c>
      <c r="V84" s="23">
        <v>146.87598996101804</v>
      </c>
      <c r="W84" s="14">
        <f t="shared" si="35"/>
        <v>205.71558964296653</v>
      </c>
      <c r="X84" s="23">
        <v>38.028455098736288</v>
      </c>
      <c r="Y84" s="14">
        <f t="shared" si="36"/>
        <v>53.262933348901385</v>
      </c>
      <c r="Z84" s="23">
        <v>3.7929116935334224</v>
      </c>
      <c r="AA84" s="14">
        <f t="shared" si="37"/>
        <v>5.312379958807548</v>
      </c>
      <c r="AB84" s="24">
        <v>3281.400783638921</v>
      </c>
      <c r="AC84" s="15">
        <f t="shared" si="38"/>
        <v>4595.9540238015243</v>
      </c>
      <c r="AD84" s="24">
        <v>317.20207575176238</v>
      </c>
      <c r="AE84" s="15">
        <f t="shared" si="39"/>
        <v>444.27555563414734</v>
      </c>
      <c r="AF84" s="24">
        <v>589.74064083732833</v>
      </c>
      <c r="AG84" s="15">
        <f t="shared" si="40"/>
        <v>825.99507038877391</v>
      </c>
      <c r="AH84" s="24">
        <v>20.326454854207761</v>
      </c>
      <c r="AI84" s="15">
        <f t="shared" si="41"/>
        <v>28.469381869659443</v>
      </c>
    </row>
    <row r="85" spans="1:35" x14ac:dyDescent="0.45">
      <c r="A85" s="11" t="s">
        <v>2</v>
      </c>
      <c r="B85" s="11" t="s">
        <v>3</v>
      </c>
      <c r="C85" s="18" t="s">
        <v>5</v>
      </c>
      <c r="D85" t="s">
        <v>64</v>
      </c>
      <c r="E85" t="s">
        <v>57</v>
      </c>
      <c r="F85" t="s">
        <v>47</v>
      </c>
      <c r="G85" s="12">
        <v>1.4006073402301149</v>
      </c>
      <c r="H85" s="21">
        <v>0.13723513938531806</v>
      </c>
      <c r="I85" s="13">
        <f t="shared" si="28"/>
        <v>1922.1254356057939</v>
      </c>
      <c r="J85" s="14">
        <v>110.97982414774113</v>
      </c>
      <c r="K85" s="14">
        <f t="shared" si="29"/>
        <v>155.4391563187736</v>
      </c>
      <c r="L85" s="22">
        <v>34116.020015787079</v>
      </c>
      <c r="M85" s="14">
        <f t="shared" si="30"/>
        <v>47783.148053548903</v>
      </c>
      <c r="N85" s="14">
        <v>123.31091571971236</v>
      </c>
      <c r="O85" s="14">
        <f t="shared" si="31"/>
        <v>172.71017368752621</v>
      </c>
      <c r="P85" s="23">
        <v>3.2118547595682041</v>
      </c>
      <c r="Q85" s="13">
        <f t="shared" si="32"/>
        <v>44.985473520042575</v>
      </c>
      <c r="R85" s="23">
        <v>1.2970951913640825</v>
      </c>
      <c r="S85" s="13">
        <f t="shared" si="33"/>
        <v>18.167210460017195</v>
      </c>
      <c r="T85" s="23">
        <v>21.358562734010381</v>
      </c>
      <c r="U85" s="14">
        <f t="shared" si="34"/>
        <v>29.914959742020333</v>
      </c>
      <c r="V85" s="23">
        <v>201.03270937885904</v>
      </c>
      <c r="W85" s="14">
        <f t="shared" si="35"/>
        <v>281.56788838237742</v>
      </c>
      <c r="X85" s="23">
        <v>66.210221379372996</v>
      </c>
      <c r="Y85" s="14">
        <f t="shared" si="36"/>
        <v>92.734522062210715</v>
      </c>
      <c r="Z85" s="23">
        <v>8.6124613546192172</v>
      </c>
      <c r="AA85" s="14">
        <f t="shared" si="37"/>
        <v>12.062676590727875</v>
      </c>
      <c r="AB85" s="24">
        <v>2620.9379010798698</v>
      </c>
      <c r="AC85" s="15">
        <f t="shared" si="38"/>
        <v>3670.9048625397768</v>
      </c>
      <c r="AD85" s="24">
        <v>169.41423695193072</v>
      </c>
      <c r="AE85" s="15">
        <f t="shared" si="39"/>
        <v>237.28282381435815</v>
      </c>
      <c r="AF85" s="24">
        <v>646.76376342237086</v>
      </c>
      <c r="AG85" s="15">
        <f t="shared" si="40"/>
        <v>905.8620744442261</v>
      </c>
      <c r="AH85" s="24">
        <v>11.759341153134017</v>
      </c>
      <c r="AI85" s="15">
        <f t="shared" si="41"/>
        <v>16.470219535349568</v>
      </c>
    </row>
    <row r="86" spans="1:35" x14ac:dyDescent="0.45">
      <c r="A86" s="11" t="s">
        <v>2</v>
      </c>
      <c r="B86" s="11" t="s">
        <v>3</v>
      </c>
      <c r="C86" s="18" t="s">
        <v>5</v>
      </c>
      <c r="D86" t="s">
        <v>64</v>
      </c>
      <c r="E86" t="s">
        <v>51</v>
      </c>
      <c r="F86" t="s">
        <v>48</v>
      </c>
      <c r="G86" s="12">
        <v>1.4006073402301149</v>
      </c>
      <c r="H86" s="21">
        <v>0.10461151126195953</v>
      </c>
      <c r="I86" s="13">
        <f t="shared" si="28"/>
        <v>1465.1965054606583</v>
      </c>
      <c r="J86" s="14">
        <v>99.8995482388206</v>
      </c>
      <c r="K86" s="14">
        <f t="shared" si="29"/>
        <v>139.92004054896458</v>
      </c>
      <c r="L86" s="22">
        <v>28721.120118660921</v>
      </c>
      <c r="M86" s="14">
        <f t="shared" si="30"/>
        <v>40227.011657827316</v>
      </c>
      <c r="N86" s="14">
        <v>98.938975659601184</v>
      </c>
      <c r="O86" s="14">
        <f t="shared" si="31"/>
        <v>138.57465554368611</v>
      </c>
      <c r="P86" s="23">
        <v>4.2297852953348327</v>
      </c>
      <c r="Q86" s="13">
        <f t="shared" si="32"/>
        <v>59.242683322433713</v>
      </c>
      <c r="R86" s="23">
        <v>0.93880600457431662</v>
      </c>
      <c r="S86" s="13">
        <f t="shared" si="33"/>
        <v>13.148985810588947</v>
      </c>
      <c r="T86" s="23">
        <v>11.374467448910455</v>
      </c>
      <c r="U86" s="14">
        <f t="shared" si="34"/>
        <v>15.931162600152492</v>
      </c>
      <c r="V86" s="23">
        <v>7.042819919461575</v>
      </c>
      <c r="W86" s="14">
        <f t="shared" si="35"/>
        <v>9.8642252751167483</v>
      </c>
      <c r="X86" s="23">
        <v>16.836593659813509</v>
      </c>
      <c r="Y86" s="14">
        <f t="shared" si="36"/>
        <v>23.581456664406616</v>
      </c>
      <c r="Z86" s="23">
        <v>0.70900871672431964</v>
      </c>
      <c r="AA86" s="14">
        <f t="shared" si="37"/>
        <v>0.99304281293121643</v>
      </c>
      <c r="AB86" s="24">
        <v>2901.2663698215033</v>
      </c>
      <c r="AC86" s="15">
        <f t="shared" si="38"/>
        <v>4063.5349735347768</v>
      </c>
      <c r="AD86" s="24">
        <v>142.11573291941326</v>
      </c>
      <c r="AE86" s="15">
        <f t="shared" si="39"/>
        <v>199.04833868911282</v>
      </c>
      <c r="AF86" s="24">
        <v>404.24030697077552</v>
      </c>
      <c r="AG86" s="15">
        <f t="shared" si="40"/>
        <v>566.18194116014308</v>
      </c>
      <c r="AH86" s="24">
        <v>7.4426535684463095</v>
      </c>
      <c r="AI86" s="15">
        <f t="shared" si="41"/>
        <v>10.42423521875576</v>
      </c>
    </row>
    <row r="87" spans="1:35" x14ac:dyDescent="0.45">
      <c r="A87" s="11" t="s">
        <v>2</v>
      </c>
      <c r="B87" s="11" t="s">
        <v>3</v>
      </c>
      <c r="C87" s="18" t="s">
        <v>5</v>
      </c>
      <c r="D87" t="s">
        <v>64</v>
      </c>
      <c r="E87" t="s">
        <v>52</v>
      </c>
      <c r="F87" t="s">
        <v>48</v>
      </c>
      <c r="G87" s="12">
        <v>1.4006073402301149</v>
      </c>
      <c r="H87" s="21">
        <v>9.2861314521831564E-2</v>
      </c>
      <c r="I87" s="13">
        <f t="shared" si="28"/>
        <v>1300.6223874269467</v>
      </c>
      <c r="J87" s="14">
        <v>69.178248633280148</v>
      </c>
      <c r="K87" s="14">
        <f t="shared" si="29"/>
        <v>96.8915628200361</v>
      </c>
      <c r="L87" s="22">
        <v>28765.186840192622</v>
      </c>
      <c r="M87" s="14">
        <f t="shared" si="30"/>
        <v>40288.731831464494</v>
      </c>
      <c r="N87" s="14">
        <v>94.398430053026487</v>
      </c>
      <c r="O87" s="14">
        <f t="shared" si="31"/>
        <v>132.21513403846799</v>
      </c>
      <c r="P87" s="23">
        <v>3.4343688398502206</v>
      </c>
      <c r="Q87" s="13">
        <f t="shared" si="32"/>
        <v>48.102022061518028</v>
      </c>
      <c r="R87" s="23">
        <v>0.93571127073763494</v>
      </c>
      <c r="S87" s="13">
        <f t="shared" si="33"/>
        <v>13.105640741311797</v>
      </c>
      <c r="T87" s="23">
        <v>12.662986590275633</v>
      </c>
      <c r="U87" s="14">
        <f t="shared" si="34"/>
        <v>17.735871967575569</v>
      </c>
      <c r="V87" s="23">
        <v>252.04450093659614</v>
      </c>
      <c r="W87" s="14">
        <f t="shared" si="35"/>
        <v>353.01537807643263</v>
      </c>
      <c r="X87" s="23">
        <v>35.018887103310085</v>
      </c>
      <c r="Y87" s="14">
        <f t="shared" si="36"/>
        <v>49.047710323585818</v>
      </c>
      <c r="Z87" s="23">
        <v>1.1994858282120728</v>
      </c>
      <c r="AA87" s="14">
        <f t="shared" si="37"/>
        <v>1.680008655495828</v>
      </c>
      <c r="AB87" s="24">
        <v>2739.5758712284123</v>
      </c>
      <c r="AC87" s="15">
        <f t="shared" si="38"/>
        <v>3837.0700743598268</v>
      </c>
      <c r="AD87" s="24">
        <v>235.60352492564346</v>
      </c>
      <c r="AE87" s="15">
        <f t="shared" si="39"/>
        <v>329.98802639494511</v>
      </c>
      <c r="AF87" s="24">
        <v>452.03001875268802</v>
      </c>
      <c r="AG87" s="15">
        <f t="shared" si="40"/>
        <v>633.11656226937134</v>
      </c>
      <c r="AH87" s="24">
        <v>15.250305683171494</v>
      </c>
      <c r="AI87" s="15">
        <f t="shared" si="41"/>
        <v>21.359690080603034</v>
      </c>
    </row>
    <row r="88" spans="1:35" x14ac:dyDescent="0.45">
      <c r="A88" s="11" t="s">
        <v>2</v>
      </c>
      <c r="B88" s="11" t="s">
        <v>3</v>
      </c>
      <c r="C88" s="18" t="s">
        <v>5</v>
      </c>
      <c r="D88" t="s">
        <v>64</v>
      </c>
      <c r="E88" t="s">
        <v>53</v>
      </c>
      <c r="F88" t="s">
        <v>48</v>
      </c>
      <c r="G88" s="12">
        <v>1.4006073402301149</v>
      </c>
      <c r="H88" s="21">
        <v>0.12257493333918103</v>
      </c>
      <c r="I88" s="13">
        <f t="shared" si="28"/>
        <v>1716.7935136307397</v>
      </c>
      <c r="J88" s="14">
        <v>139.75326456899072</v>
      </c>
      <c r="K88" s="14">
        <f t="shared" si="29"/>
        <v>195.73944817644966</v>
      </c>
      <c r="L88" s="22">
        <v>28341.571136368741</v>
      </c>
      <c r="M88" s="14">
        <f t="shared" si="30"/>
        <v>39695.412567252024</v>
      </c>
      <c r="N88" s="14">
        <v>113.36628454547497</v>
      </c>
      <c r="O88" s="14">
        <f t="shared" si="31"/>
        <v>158.78165026900811</v>
      </c>
      <c r="P88" s="23">
        <v>3.853922025763453</v>
      </c>
      <c r="Q88" s="13">
        <f t="shared" si="32"/>
        <v>53.978314779588061</v>
      </c>
      <c r="R88" s="23">
        <v>1.3189893564110216</v>
      </c>
      <c r="S88" s="13">
        <f t="shared" si="33"/>
        <v>18.47386174274672</v>
      </c>
      <c r="T88" s="23">
        <v>14.039129559236061</v>
      </c>
      <c r="U88" s="14">
        <f t="shared" si="34"/>
        <v>19.663307911107609</v>
      </c>
      <c r="V88" s="23">
        <v>1573.4449171563576</v>
      </c>
      <c r="W88" s="14">
        <f t="shared" si="35"/>
        <v>2203.7785004169596</v>
      </c>
      <c r="X88" s="23">
        <v>429.83783695088169</v>
      </c>
      <c r="Y88" s="14">
        <f t="shared" si="36"/>
        <v>602.03402954204023</v>
      </c>
      <c r="Z88" s="23">
        <v>3.4332095603105559</v>
      </c>
      <c r="AA88" s="14">
        <f t="shared" si="37"/>
        <v>4.8085785107191699</v>
      </c>
      <c r="AB88" s="24">
        <v>3049.3216945088984</v>
      </c>
      <c r="AC88" s="15">
        <f t="shared" si="38"/>
        <v>4270.9023480520955</v>
      </c>
      <c r="AD88" s="24">
        <v>1127.1975367288067</v>
      </c>
      <c r="AE88" s="15">
        <f t="shared" si="39"/>
        <v>1578.7611438316712</v>
      </c>
      <c r="AF88" s="24">
        <v>492.09743207936702</v>
      </c>
      <c r="AG88" s="15">
        <f t="shared" si="40"/>
        <v>689.23527547875187</v>
      </c>
      <c r="AH88" s="24">
        <v>30.28291889719182</v>
      </c>
      <c r="AI88" s="15">
        <f t="shared" si="41"/>
        <v>42.414478491000125</v>
      </c>
    </row>
    <row r="89" spans="1:35" x14ac:dyDescent="0.45">
      <c r="A89" s="11" t="s">
        <v>2</v>
      </c>
      <c r="B89" s="11" t="s">
        <v>3</v>
      </c>
      <c r="C89" s="18" t="s">
        <v>5</v>
      </c>
      <c r="D89" t="s">
        <v>64</v>
      </c>
      <c r="E89" t="s">
        <v>54</v>
      </c>
      <c r="F89" t="s">
        <v>48</v>
      </c>
      <c r="G89" s="12">
        <v>1.4006073402301149</v>
      </c>
      <c r="H89" s="21">
        <v>0.1524171529634889</v>
      </c>
      <c r="I89" s="13">
        <f t="shared" si="28"/>
        <v>2134.7658321763874</v>
      </c>
      <c r="J89" s="14">
        <v>127.99336982456799</v>
      </c>
      <c r="K89" s="14">
        <f t="shared" si="29"/>
        <v>179.26845327707764</v>
      </c>
      <c r="L89" s="22">
        <v>30156.013648061093</v>
      </c>
      <c r="M89" s="14">
        <f t="shared" si="30"/>
        <v>42236.734067553894</v>
      </c>
      <c r="N89" s="14">
        <v>115.38796219033023</v>
      </c>
      <c r="O89" s="14">
        <f t="shared" si="31"/>
        <v>161.61322681797151</v>
      </c>
      <c r="P89" s="23">
        <v>3.5366313446662101</v>
      </c>
      <c r="Q89" s="13">
        <f t="shared" si="32"/>
        <v>49.534318210273952</v>
      </c>
      <c r="R89" s="23">
        <v>1.3326436950916154</v>
      </c>
      <c r="S89" s="13">
        <f t="shared" si="33"/>
        <v>18.665105412566998</v>
      </c>
      <c r="T89" s="23">
        <v>13.872501974083182</v>
      </c>
      <c r="U89" s="14">
        <f t="shared" si="34"/>
        <v>19.429928092257665</v>
      </c>
      <c r="V89" s="23">
        <v>238.49309374280767</v>
      </c>
      <c r="W89" s="14">
        <f t="shared" si="35"/>
        <v>334.03517769036529</v>
      </c>
      <c r="X89" s="23">
        <v>40.011521013682675</v>
      </c>
      <c r="Y89" s="14">
        <f t="shared" si="36"/>
        <v>56.040430025535443</v>
      </c>
      <c r="Z89" s="23">
        <v>3.2407164976616443</v>
      </c>
      <c r="AA89" s="14">
        <f t="shared" si="37"/>
        <v>4.5389713142297294</v>
      </c>
      <c r="AB89" s="24">
        <v>2904.4798482765973</v>
      </c>
      <c r="AC89" s="15">
        <f t="shared" si="38"/>
        <v>4068.0357950466528</v>
      </c>
      <c r="AD89" s="24">
        <v>281.90539703861094</v>
      </c>
      <c r="AE89" s="15">
        <f t="shared" si="39"/>
        <v>394.83876834276344</v>
      </c>
      <c r="AF89" s="24">
        <v>498.31762102784757</v>
      </c>
      <c r="AG89" s="15">
        <f t="shared" si="40"/>
        <v>697.94731777761194</v>
      </c>
      <c r="AH89" s="24">
        <v>17.654681430700887</v>
      </c>
      <c r="AI89" s="15">
        <f t="shared" si="41"/>
        <v>24.727276401263971</v>
      </c>
    </row>
    <row r="90" spans="1:35" x14ac:dyDescent="0.45">
      <c r="A90" s="11" t="s">
        <v>2</v>
      </c>
      <c r="B90" s="11" t="s">
        <v>3</v>
      </c>
      <c r="C90" s="18" t="s">
        <v>5</v>
      </c>
      <c r="D90" t="s">
        <v>64</v>
      </c>
      <c r="E90" t="s">
        <v>55</v>
      </c>
      <c r="F90" t="s">
        <v>48</v>
      </c>
      <c r="G90" s="12">
        <v>1.4006073402301149</v>
      </c>
      <c r="H90" s="21">
        <v>0.12538361839768622</v>
      </c>
      <c r="I90" s="13">
        <f t="shared" si="28"/>
        <v>1756.13216272411</v>
      </c>
      <c r="J90" s="14">
        <v>159.98455331031903</v>
      </c>
      <c r="K90" s="14">
        <f t="shared" si="29"/>
        <v>224.07553968986898</v>
      </c>
      <c r="L90" s="22">
        <v>29125.393038545259</v>
      </c>
      <c r="M90" s="14">
        <f t="shared" si="30"/>
        <v>40793.239276873581</v>
      </c>
      <c r="N90" s="14">
        <v>119.98841498273929</v>
      </c>
      <c r="O90" s="14">
        <f t="shared" si="31"/>
        <v>168.05665476740177</v>
      </c>
      <c r="P90" s="23">
        <v>5.1113013698630132</v>
      </c>
      <c r="Q90" s="13">
        <f t="shared" si="32"/>
        <v>71.589262167583769</v>
      </c>
      <c r="R90" s="23">
        <v>1.5129452054794519</v>
      </c>
      <c r="S90" s="13">
        <f t="shared" si="33"/>
        <v>21.190421601604797</v>
      </c>
      <c r="T90" s="23">
        <v>16.608398890779906</v>
      </c>
      <c r="U90" s="14">
        <f t="shared" si="34"/>
        <v>23.261845395896035</v>
      </c>
      <c r="V90" s="23">
        <v>440.31947022410168</v>
      </c>
      <c r="W90" s="14">
        <f t="shared" si="35"/>
        <v>616.71468204211237</v>
      </c>
      <c r="X90" s="23">
        <v>72.414726601947507</v>
      </c>
      <c r="Y90" s="14">
        <f t="shared" si="36"/>
        <v>101.42459761944465</v>
      </c>
      <c r="Z90" s="23">
        <v>3.3897113594670332</v>
      </c>
      <c r="AA90" s="14">
        <f t="shared" si="37"/>
        <v>4.7476546113309279</v>
      </c>
      <c r="AB90" s="24">
        <v>2862.4894682864197</v>
      </c>
      <c r="AC90" s="15">
        <f t="shared" si="38"/>
        <v>4009.2237606133585</v>
      </c>
      <c r="AD90" s="24">
        <v>349.52502981181539</v>
      </c>
      <c r="AE90" s="15">
        <f t="shared" si="39"/>
        <v>489.5473223485784</v>
      </c>
      <c r="AF90" s="24">
        <v>280.22265321119681</v>
      </c>
      <c r="AG90" s="15">
        <f t="shared" si="40"/>
        <v>392.48190498636023</v>
      </c>
      <c r="AH90" s="24">
        <v>13.760037093166295</v>
      </c>
      <c r="AI90" s="15">
        <f t="shared" si="41"/>
        <v>19.272408954527368</v>
      </c>
    </row>
    <row r="91" spans="1:35" x14ac:dyDescent="0.45">
      <c r="A91" s="11" t="s">
        <v>2</v>
      </c>
      <c r="B91" s="11" t="s">
        <v>3</v>
      </c>
      <c r="C91" s="18" t="s">
        <v>5</v>
      </c>
      <c r="D91" t="s">
        <v>64</v>
      </c>
      <c r="E91" t="s">
        <v>56</v>
      </c>
      <c r="F91" t="s">
        <v>48</v>
      </c>
      <c r="G91" s="12">
        <v>1.3017103417089302</v>
      </c>
      <c r="H91" s="21">
        <v>0.20263112423653135</v>
      </c>
      <c r="I91" s="13">
        <f t="shared" si="28"/>
        <v>2637.6702997079992</v>
      </c>
      <c r="J91" s="14">
        <v>111.45154937257755</v>
      </c>
      <c r="K91" s="14">
        <f t="shared" si="29"/>
        <v>145.07763441776763</v>
      </c>
      <c r="L91" s="22">
        <v>34430.567931171274</v>
      </c>
      <c r="M91" s="14">
        <f t="shared" si="30"/>
        <v>44818.626346917496</v>
      </c>
      <c r="N91" s="14">
        <v>127.37319928294575</v>
      </c>
      <c r="O91" s="14">
        <f t="shared" si="31"/>
        <v>165.80301076316297</v>
      </c>
      <c r="P91" s="23">
        <v>3.1588354401546672</v>
      </c>
      <c r="Q91" s="13">
        <f t="shared" si="32"/>
        <v>41.118887602060106</v>
      </c>
      <c r="R91" s="23">
        <v>0.94662169542094265</v>
      </c>
      <c r="S91" s="13">
        <f t="shared" si="33"/>
        <v>12.322272506154821</v>
      </c>
      <c r="T91" s="23">
        <v>8.3221004882663454</v>
      </c>
      <c r="U91" s="14">
        <f t="shared" si="34"/>
        <v>10.832964270317239</v>
      </c>
      <c r="V91" s="23">
        <v>233.10231685646463</v>
      </c>
      <c r="W91" s="14">
        <f t="shared" si="35"/>
        <v>303.43169652837184</v>
      </c>
      <c r="X91" s="23">
        <v>34.18998404891142</v>
      </c>
      <c r="Y91" s="14">
        <f t="shared" si="36"/>
        <v>44.505455819331353</v>
      </c>
      <c r="Z91" s="23">
        <v>3.9975665148862474</v>
      </c>
      <c r="AA91" s="14">
        <f t="shared" si="37"/>
        <v>5.2036736740967546</v>
      </c>
      <c r="AB91" s="24">
        <v>3296.4080778547313</v>
      </c>
      <c r="AC91" s="15">
        <f t="shared" si="38"/>
        <v>4290.9684854363604</v>
      </c>
      <c r="AD91" s="24">
        <v>259.1395945596783</v>
      </c>
      <c r="AE91" s="15">
        <f t="shared" si="39"/>
        <v>337.3246901845925</v>
      </c>
      <c r="AF91" s="24">
        <v>567.82058219694215</v>
      </c>
      <c r="AG91" s="15">
        <f t="shared" si="40"/>
        <v>739.13792408094525</v>
      </c>
      <c r="AH91" s="24">
        <v>21.245635877503037</v>
      </c>
      <c r="AI91" s="15">
        <f t="shared" si="41"/>
        <v>27.655663937927986</v>
      </c>
    </row>
    <row r="92" spans="1:35" x14ac:dyDescent="0.45">
      <c r="A92" s="11" t="s">
        <v>2</v>
      </c>
      <c r="B92" s="11" t="s">
        <v>3</v>
      </c>
      <c r="C92" s="10" t="s">
        <v>5</v>
      </c>
      <c r="D92" t="s">
        <v>64</v>
      </c>
      <c r="E92" t="s">
        <v>57</v>
      </c>
      <c r="F92" t="s">
        <v>48</v>
      </c>
      <c r="G92" s="12">
        <v>1.4006073402301149</v>
      </c>
      <c r="H92" s="21">
        <v>0.12346645241607494</v>
      </c>
      <c r="I92" s="13">
        <f t="shared" si="28"/>
        <v>1729.2801952612676</v>
      </c>
      <c r="J92" s="14">
        <v>96.804634182082012</v>
      </c>
      <c r="K92" s="14">
        <f t="shared" si="29"/>
        <v>135.58528120371514</v>
      </c>
      <c r="L92" s="22">
        <v>33279.651791615652</v>
      </c>
      <c r="M92" s="14">
        <f t="shared" si="30"/>
        <v>46611.724579639173</v>
      </c>
      <c r="N92" s="14">
        <v>115.49996798266611</v>
      </c>
      <c r="O92" s="14">
        <f t="shared" si="31"/>
        <v>161.77010295286541</v>
      </c>
      <c r="P92" s="23">
        <v>3.4265806179264264</v>
      </c>
      <c r="Q92" s="13">
        <f t="shared" si="32"/>
        <v>47.99293965357996</v>
      </c>
      <c r="R92" s="23">
        <v>1.1558316711214511</v>
      </c>
      <c r="S92" s="13">
        <f t="shared" si="33"/>
        <v>16.188663226431444</v>
      </c>
      <c r="T92" s="23">
        <v>13.385524960710871</v>
      </c>
      <c r="U92" s="14">
        <f t="shared" si="34"/>
        <v>18.747864512805066</v>
      </c>
      <c r="V92" s="23">
        <v>295.62880357452622</v>
      </c>
      <c r="W92" s="14">
        <f t="shared" si="35"/>
        <v>414.05987226992829</v>
      </c>
      <c r="X92" s="23">
        <v>52.176926612551476</v>
      </c>
      <c r="Y92" s="14">
        <f t="shared" si="36"/>
        <v>73.079386404187616</v>
      </c>
      <c r="Z92" s="23">
        <v>5.055903741526306</v>
      </c>
      <c r="AA92" s="14">
        <f t="shared" si="37"/>
        <v>7.0813358918786458</v>
      </c>
      <c r="AB92" s="24">
        <v>3219.0580833734762</v>
      </c>
      <c r="AC92" s="15">
        <f t="shared" si="38"/>
        <v>4508.636380199976</v>
      </c>
      <c r="AD92" s="24">
        <v>348.16576887082516</v>
      </c>
      <c r="AE92" s="15">
        <f t="shared" si="39"/>
        <v>487.64353149733938</v>
      </c>
      <c r="AF92" s="24">
        <v>552.73774606046254</v>
      </c>
      <c r="AG92" s="15">
        <f t="shared" si="40"/>
        <v>774.1685443545332</v>
      </c>
      <c r="AH92" s="24">
        <v>24.981385676042255</v>
      </c>
      <c r="AI92" s="15">
        <f t="shared" si="41"/>
        <v>34.989112146984233</v>
      </c>
    </row>
    <row r="93" spans="1:35" x14ac:dyDescent="0.45">
      <c r="A93" s="11" t="s">
        <v>2</v>
      </c>
      <c r="B93" s="11" t="s">
        <v>3</v>
      </c>
      <c r="C93" s="18" t="s">
        <v>5</v>
      </c>
      <c r="D93" t="s">
        <v>64</v>
      </c>
      <c r="E93" t="s">
        <v>51</v>
      </c>
      <c r="F93" t="s">
        <v>49</v>
      </c>
      <c r="G93" s="12">
        <v>1.4006073402301149</v>
      </c>
      <c r="H93" s="25">
        <v>0.18289947739372148</v>
      </c>
      <c r="I93" s="19">
        <f t="shared" si="28"/>
        <v>2561.7035056189829</v>
      </c>
      <c r="J93" s="15">
        <v>98.636764464932355</v>
      </c>
      <c r="K93" s="15">
        <f t="shared" si="29"/>
        <v>138.15137632613323</v>
      </c>
      <c r="L93" s="26">
        <v>26964.725244986592</v>
      </c>
      <c r="M93" s="15">
        <f t="shared" si="30"/>
        <v>37766.992105416502</v>
      </c>
      <c r="N93" s="15">
        <v>100.04013306504318</v>
      </c>
      <c r="O93" s="15">
        <f t="shared" si="31"/>
        <v>140.11694468849691</v>
      </c>
      <c r="P93" s="27">
        <v>3.8826999059266223</v>
      </c>
      <c r="Q93" s="19">
        <f t="shared" si="32"/>
        <v>54.38137988151604</v>
      </c>
      <c r="R93" s="27">
        <v>1.0859266227657574</v>
      </c>
      <c r="S93" s="19">
        <f t="shared" si="33"/>
        <v>15.209567987970187</v>
      </c>
      <c r="T93" s="27">
        <v>13.768794803735826</v>
      </c>
      <c r="U93" s="15">
        <f t="shared" si="34"/>
        <v>19.284675068234662</v>
      </c>
      <c r="V93" s="27">
        <v>13.230361566838885</v>
      </c>
      <c r="W93" s="15">
        <f t="shared" si="35"/>
        <v>18.53054152441295</v>
      </c>
      <c r="X93" s="27">
        <v>32.27390902675215</v>
      </c>
      <c r="Y93" s="15">
        <f t="shared" si="36"/>
        <v>45.203073880788025</v>
      </c>
      <c r="Z93" s="27">
        <v>7.7543200225719815</v>
      </c>
      <c r="AA93" s="15">
        <f t="shared" si="37"/>
        <v>10.860757542107669</v>
      </c>
      <c r="AB93" s="24">
        <v>2505.8184912887646</v>
      </c>
      <c r="AC93" s="15">
        <f t="shared" si="38"/>
        <v>3509.6677721833962</v>
      </c>
      <c r="AD93" s="24">
        <v>286.24860867641729</v>
      </c>
      <c r="AE93" s="15">
        <f t="shared" si="39"/>
        <v>400.92190244284785</v>
      </c>
      <c r="AF93" s="24">
        <v>416.11219472130944</v>
      </c>
      <c r="AG93" s="15">
        <f t="shared" si="40"/>
        <v>582.80979428592889</v>
      </c>
      <c r="AH93" s="24">
        <v>10.05985525699869</v>
      </c>
      <c r="AI93" s="15">
        <f t="shared" si="41"/>
        <v>14.089907114604875</v>
      </c>
    </row>
    <row r="94" spans="1:35" x14ac:dyDescent="0.45">
      <c r="A94" s="11" t="s">
        <v>2</v>
      </c>
      <c r="B94" s="11" t="s">
        <v>3</v>
      </c>
      <c r="C94" s="18" t="s">
        <v>5</v>
      </c>
      <c r="D94" t="s">
        <v>64</v>
      </c>
      <c r="E94" t="s">
        <v>52</v>
      </c>
      <c r="F94" t="s">
        <v>49</v>
      </c>
      <c r="G94" s="12">
        <v>1.4006073402301149</v>
      </c>
      <c r="H94" s="25">
        <v>0.22957262002637699</v>
      </c>
      <c r="I94" s="19">
        <f t="shared" si="28"/>
        <v>3215.4109672480267</v>
      </c>
      <c r="J94" s="15">
        <v>71.014645329616727</v>
      </c>
      <c r="K94" s="15">
        <f t="shared" si="29"/>
        <v>99.463633512499442</v>
      </c>
      <c r="L94" s="26">
        <v>28671.688355005681</v>
      </c>
      <c r="M94" s="15">
        <f t="shared" si="30"/>
        <v>40157.777166811262</v>
      </c>
      <c r="N94" s="15">
        <v>96.838152722204612</v>
      </c>
      <c r="O94" s="15">
        <f t="shared" si="31"/>
        <v>135.63222751704467</v>
      </c>
      <c r="P94" s="27">
        <v>3.3920069390199092</v>
      </c>
      <c r="Q94" s="19">
        <f t="shared" si="32"/>
        <v>47.508698169027682</v>
      </c>
      <c r="R94" s="27">
        <v>0.87105918373623048</v>
      </c>
      <c r="S94" s="19">
        <f t="shared" si="33"/>
        <v>12.200118865158167</v>
      </c>
      <c r="T94" s="27">
        <v>10.11517262754966</v>
      </c>
      <c r="U94" s="15">
        <f t="shared" si="34"/>
        <v>14.167385029840792</v>
      </c>
      <c r="V94" s="27">
        <v>278.60143105498599</v>
      </c>
      <c r="W94" s="15">
        <f t="shared" si="35"/>
        <v>390.2112093342277</v>
      </c>
      <c r="X94" s="27">
        <v>30.633462968296922</v>
      </c>
      <c r="Y94" s="15">
        <f t="shared" si="36"/>
        <v>42.905453090064071</v>
      </c>
      <c r="Z94" s="27">
        <v>1.6122875246472059</v>
      </c>
      <c r="AA94" s="15">
        <f t="shared" si="37"/>
        <v>2.2581817415823191</v>
      </c>
      <c r="AB94" s="24">
        <v>2743.3369625286659</v>
      </c>
      <c r="AC94" s="15">
        <f t="shared" si="38"/>
        <v>3842.3378864422375</v>
      </c>
      <c r="AD94" s="24">
        <v>233.58122688196974</v>
      </c>
      <c r="AE94" s="15">
        <f t="shared" si="39"/>
        <v>327.15558091084267</v>
      </c>
      <c r="AF94" s="24">
        <v>456.22886442052817</v>
      </c>
      <c r="AG94" s="15">
        <f t="shared" si="40"/>
        <v>638.99749633224167</v>
      </c>
      <c r="AH94" s="24">
        <v>19.08408321759072</v>
      </c>
      <c r="AI94" s="15">
        <f t="shared" si="41"/>
        <v>26.729307036119913</v>
      </c>
    </row>
    <row r="95" spans="1:35" x14ac:dyDescent="0.45">
      <c r="A95" s="11" t="s">
        <v>2</v>
      </c>
      <c r="B95" s="11" t="s">
        <v>3</v>
      </c>
      <c r="C95" s="18" t="s">
        <v>5</v>
      </c>
      <c r="D95" t="s">
        <v>64</v>
      </c>
      <c r="E95" t="s">
        <v>53</v>
      </c>
      <c r="F95" t="s">
        <v>49</v>
      </c>
      <c r="G95" s="12">
        <v>1.4006073402301149</v>
      </c>
      <c r="H95" s="25">
        <v>0.18817629901628871</v>
      </c>
      <c r="I95" s="19">
        <f t="shared" si="28"/>
        <v>2635.6110565955096</v>
      </c>
      <c r="J95" s="15">
        <v>102.09777187877935</v>
      </c>
      <c r="K95" s="15">
        <f t="shared" si="29"/>
        <v>142.99888871455818</v>
      </c>
      <c r="L95" s="26">
        <v>28893.669441694554</v>
      </c>
      <c r="M95" s="15">
        <f t="shared" si="30"/>
        <v>40468.685506219961</v>
      </c>
      <c r="N95" s="15">
        <v>103.11874959756713</v>
      </c>
      <c r="O95" s="15">
        <f t="shared" si="31"/>
        <v>144.42887760170373</v>
      </c>
      <c r="P95" s="27">
        <v>3.7137411095165969</v>
      </c>
      <c r="Q95" s="19">
        <f t="shared" si="32"/>
        <v>52.014930577032764</v>
      </c>
      <c r="R95" s="27">
        <v>1.1418982358901448</v>
      </c>
      <c r="S95" s="19">
        <f t="shared" si="33"/>
        <v>15.993510509835563</v>
      </c>
      <c r="T95" s="27">
        <v>12.108136273596216</v>
      </c>
      <c r="U95" s="15">
        <f t="shared" si="34"/>
        <v>16.958744541305371</v>
      </c>
      <c r="V95" s="27">
        <v>182.17661992085795</v>
      </c>
      <c r="W95" s="15">
        <f t="shared" si="35"/>
        <v>255.15791107946541</v>
      </c>
      <c r="X95" s="27">
        <v>45.778853623377337</v>
      </c>
      <c r="Y95" s="15">
        <f t="shared" si="36"/>
        <v>64.118198412222299</v>
      </c>
      <c r="Z95" s="27">
        <v>13.324826192471464</v>
      </c>
      <c r="AA95" s="15">
        <f t="shared" si="37"/>
        <v>18.662849372466027</v>
      </c>
      <c r="AB95" s="24">
        <v>2884.4982817928048</v>
      </c>
      <c r="AC95" s="15">
        <f t="shared" si="38"/>
        <v>4040.0494663601571</v>
      </c>
      <c r="AD95" s="24">
        <v>333.83529065504138</v>
      </c>
      <c r="AE95" s="15">
        <f t="shared" si="39"/>
        <v>467.57215851930488</v>
      </c>
      <c r="AF95" s="24">
        <v>469.99167808232414</v>
      </c>
      <c r="AG95" s="15">
        <f t="shared" si="40"/>
        <v>658.27379416917245</v>
      </c>
      <c r="AH95" s="24">
        <v>14.92677432536137</v>
      </c>
      <c r="AI95" s="15">
        <f t="shared" si="41"/>
        <v>20.906549686059556</v>
      </c>
    </row>
    <row r="96" spans="1:35" x14ac:dyDescent="0.45">
      <c r="A96" s="11" t="s">
        <v>2</v>
      </c>
      <c r="B96" s="11" t="s">
        <v>3</v>
      </c>
      <c r="C96" s="18" t="s">
        <v>5</v>
      </c>
      <c r="D96" t="s">
        <v>64</v>
      </c>
      <c r="E96" t="s">
        <v>54</v>
      </c>
      <c r="F96" t="s">
        <v>49</v>
      </c>
      <c r="G96" s="12">
        <v>1.4006073402301149</v>
      </c>
      <c r="H96" s="25">
        <v>0.10139458236457402</v>
      </c>
      <c r="I96" s="19">
        <f t="shared" si="28"/>
        <v>1420.1399631938932</v>
      </c>
      <c r="J96" s="15">
        <v>81.933065917157307</v>
      </c>
      <c r="K96" s="15">
        <f t="shared" si="29"/>
        <v>114.75605353112837</v>
      </c>
      <c r="L96" s="26">
        <v>31874.210182235758</v>
      </c>
      <c r="M96" s="15">
        <f t="shared" si="30"/>
        <v>44643.25274527687</v>
      </c>
      <c r="N96" s="15">
        <v>107.2689765748319</v>
      </c>
      <c r="O96" s="15">
        <f t="shared" si="31"/>
        <v>150.24171596968179</v>
      </c>
      <c r="P96" s="27">
        <v>3.3522188577401404</v>
      </c>
      <c r="Q96" s="19">
        <f t="shared" si="32"/>
        <v>46.951423382086524</v>
      </c>
      <c r="R96" s="27">
        <v>1.0220179444329696</v>
      </c>
      <c r="S96" s="19">
        <f t="shared" si="33"/>
        <v>14.314458348197109</v>
      </c>
      <c r="T96" s="27">
        <v>6.5461517657836339</v>
      </c>
      <c r="U96" s="15">
        <f t="shared" si="34"/>
        <v>9.1685882134168857</v>
      </c>
      <c r="V96" s="27">
        <v>17.275154060751316</v>
      </c>
      <c r="W96" s="15">
        <f t="shared" si="35"/>
        <v>24.195707581094368</v>
      </c>
      <c r="X96" s="27">
        <v>21.441402584232733</v>
      </c>
      <c r="Y96" s="15">
        <f t="shared" si="36"/>
        <v>30.03098584430532</v>
      </c>
      <c r="Z96" s="27">
        <v>4.2329847698529708</v>
      </c>
      <c r="AA96" s="15">
        <f t="shared" si="37"/>
        <v>5.9287495397383552</v>
      </c>
      <c r="AB96" s="24">
        <v>2912.7511416339635</v>
      </c>
      <c r="AC96" s="15">
        <f t="shared" si="38"/>
        <v>4079.6206292361767</v>
      </c>
      <c r="AD96" s="24">
        <v>210.53569655319174</v>
      </c>
      <c r="AE96" s="15">
        <f t="shared" si="39"/>
        <v>294.87784197286044</v>
      </c>
      <c r="AF96" s="24">
        <v>504.87686454988705</v>
      </c>
      <c r="AG96" s="15">
        <f t="shared" si="40"/>
        <v>707.1342424009373</v>
      </c>
      <c r="AH96" s="24">
        <v>20.542560683102693</v>
      </c>
      <c r="AI96" s="15">
        <f t="shared" si="41"/>
        <v>28.772061279876194</v>
      </c>
    </row>
    <row r="97" spans="1:35" x14ac:dyDescent="0.45">
      <c r="A97" s="11" t="s">
        <v>2</v>
      </c>
      <c r="B97" s="11" t="s">
        <v>3</v>
      </c>
      <c r="C97" s="18" t="s">
        <v>5</v>
      </c>
      <c r="D97" t="s">
        <v>64</v>
      </c>
      <c r="E97" t="s">
        <v>55</v>
      </c>
      <c r="F97" t="s">
        <v>49</v>
      </c>
      <c r="G97" s="12">
        <v>1.4006073402301149</v>
      </c>
      <c r="H97" s="25">
        <v>0.10484419662898113</v>
      </c>
      <c r="I97" s="19">
        <f t="shared" si="28"/>
        <v>1468.4555137908044</v>
      </c>
      <c r="J97" s="15">
        <v>74.304046720626431</v>
      </c>
      <c r="K97" s="15">
        <f t="shared" si="29"/>
        <v>104.07079324571079</v>
      </c>
      <c r="L97" s="26">
        <v>27777.213727336988</v>
      </c>
      <c r="M97" s="15">
        <f t="shared" si="30"/>
        <v>38904.969437648899</v>
      </c>
      <c r="N97" s="15">
        <v>94.442526672945746</v>
      </c>
      <c r="O97" s="15">
        <f t="shared" si="31"/>
        <v>132.27689608800623</v>
      </c>
      <c r="P97" s="27">
        <v>4.3203884596822029</v>
      </c>
      <c r="Q97" s="19">
        <f t="shared" si="32"/>
        <v>60.511677892763728</v>
      </c>
      <c r="R97" s="27">
        <v>0.99307507248619342</v>
      </c>
      <c r="S97" s="19">
        <f t="shared" si="33"/>
        <v>13.909082359237159</v>
      </c>
      <c r="T97" s="27">
        <v>12.791044487364658</v>
      </c>
      <c r="U97" s="15">
        <f t="shared" si="34"/>
        <v>17.915230798212889</v>
      </c>
      <c r="V97" s="27">
        <v>270.75167715946213</v>
      </c>
      <c r="W97" s="15">
        <f t="shared" si="35"/>
        <v>379.21678640915701</v>
      </c>
      <c r="X97" s="27">
        <v>34.868903897213677</v>
      </c>
      <c r="Y97" s="15">
        <f t="shared" si="36"/>
        <v>48.837642744215941</v>
      </c>
      <c r="Z97" s="27">
        <v>1.1832501852713018</v>
      </c>
      <c r="AA97" s="15">
        <f t="shared" si="37"/>
        <v>1.6572688948196286</v>
      </c>
      <c r="AB97" s="24">
        <v>3231.9605148630926</v>
      </c>
      <c r="AC97" s="15">
        <f t="shared" si="38"/>
        <v>4526.7076204511486</v>
      </c>
      <c r="AD97" s="24">
        <v>283.04747366192294</v>
      </c>
      <c r="AE97" s="15">
        <f t="shared" si="39"/>
        <v>396.43836924447942</v>
      </c>
      <c r="AF97" s="24">
        <v>425.57492493849406</v>
      </c>
      <c r="AG97" s="15">
        <f t="shared" si="40"/>
        <v>596.06336368673499</v>
      </c>
      <c r="AH97" s="24">
        <v>16.962774130803183</v>
      </c>
      <c r="AI97" s="15">
        <f t="shared" si="41"/>
        <v>23.758185958268445</v>
      </c>
    </row>
    <row r="98" spans="1:35" x14ac:dyDescent="0.45">
      <c r="A98" s="11" t="s">
        <v>2</v>
      </c>
      <c r="B98" s="11" t="s">
        <v>3</v>
      </c>
      <c r="C98" s="18" t="s">
        <v>5</v>
      </c>
      <c r="D98" t="s">
        <v>64</v>
      </c>
      <c r="E98" t="s">
        <v>56</v>
      </c>
      <c r="F98" t="s">
        <v>49</v>
      </c>
      <c r="G98" s="12">
        <v>1.4006073402301149</v>
      </c>
      <c r="H98" s="25">
        <v>0.10779536149369118</v>
      </c>
      <c r="I98" s="19">
        <f t="shared" si="28"/>
        <v>1509.7897455082257</v>
      </c>
      <c r="J98" s="15">
        <v>102.25587281343569</v>
      </c>
      <c r="K98" s="15">
        <f t="shared" si="29"/>
        <v>143.22032604413511</v>
      </c>
      <c r="L98" s="26">
        <v>33612.821558475887</v>
      </c>
      <c r="M98" s="15">
        <f t="shared" si="30"/>
        <v>47078.364600646375</v>
      </c>
      <c r="N98" s="15">
        <v>121.4921261149731</v>
      </c>
      <c r="O98" s="15">
        <f t="shared" si="31"/>
        <v>170.16276361679417</v>
      </c>
      <c r="P98" s="27">
        <v>3.460354934956813</v>
      </c>
      <c r="Q98" s="19">
        <f t="shared" si="32"/>
        <v>48.46598521702014</v>
      </c>
      <c r="R98" s="27">
        <v>1.1568642238169224</v>
      </c>
      <c r="S98" s="19">
        <f t="shared" si="33"/>
        <v>16.203125235275962</v>
      </c>
      <c r="T98" s="27">
        <v>6.3148655009442471</v>
      </c>
      <c r="U98" s="15">
        <f t="shared" si="34"/>
        <v>8.8446469731884338</v>
      </c>
      <c r="V98" s="27">
        <v>1562.6141153392607</v>
      </c>
      <c r="W98" s="15">
        <f t="shared" si="35"/>
        <v>2188.6087998913558</v>
      </c>
      <c r="X98" s="27">
        <v>243.09396096177468</v>
      </c>
      <c r="Y98" s="15">
        <f t="shared" si="36"/>
        <v>340.47918608867468</v>
      </c>
      <c r="Z98" s="27">
        <v>1.0874400088903706</v>
      </c>
      <c r="AA98" s="15">
        <f t="shared" si="37"/>
        <v>1.5230764585117547</v>
      </c>
      <c r="AB98" s="24">
        <v>3406.0161797196665</v>
      </c>
      <c r="AC98" s="15">
        <f t="shared" si="38"/>
        <v>4770.4912622578995</v>
      </c>
      <c r="AD98" s="24">
        <v>1037.5552177527541</v>
      </c>
      <c r="AE98" s="15">
        <f t="shared" si="39"/>
        <v>1453.2074538785628</v>
      </c>
      <c r="AF98" s="24">
        <v>537.48116593264103</v>
      </c>
      <c r="AG98" s="15">
        <f t="shared" si="40"/>
        <v>752.80006624069745</v>
      </c>
      <c r="AH98" s="24">
        <v>31.894486769629243</v>
      </c>
      <c r="AI98" s="15">
        <f t="shared" si="41"/>
        <v>44.671652282415003</v>
      </c>
    </row>
    <row r="99" spans="1:35" x14ac:dyDescent="0.45">
      <c r="A99" s="11" t="s">
        <v>2</v>
      </c>
      <c r="B99" s="11" t="s">
        <v>3</v>
      </c>
      <c r="C99" s="18" t="s">
        <v>5</v>
      </c>
      <c r="D99" t="s">
        <v>64</v>
      </c>
      <c r="E99" t="s">
        <v>57</v>
      </c>
      <c r="F99" t="s">
        <v>49</v>
      </c>
      <c r="G99" s="12">
        <v>1.4006073402301149</v>
      </c>
      <c r="H99" s="25">
        <v>0.13181373975090588</v>
      </c>
      <c r="I99" s="19">
        <f t="shared" si="28"/>
        <v>1846.1929143830084</v>
      </c>
      <c r="J99" s="15">
        <v>127.30860461911504</v>
      </c>
      <c r="K99" s="15">
        <f t="shared" si="29"/>
        <v>178.30936610398606</v>
      </c>
      <c r="L99" s="26">
        <v>33589.885680274201</v>
      </c>
      <c r="M99" s="15">
        <f t="shared" si="30"/>
        <v>47046.240441282476</v>
      </c>
      <c r="N99" s="15">
        <v>123.39141678468073</v>
      </c>
      <c r="O99" s="15">
        <f t="shared" si="31"/>
        <v>172.82292407001725</v>
      </c>
      <c r="P99" s="27">
        <v>3.7077064220183482</v>
      </c>
      <c r="Q99" s="19">
        <f t="shared" si="32"/>
        <v>51.930408300972346</v>
      </c>
      <c r="R99" s="27">
        <v>1.5831804281345563</v>
      </c>
      <c r="S99" s="19">
        <f t="shared" si="33"/>
        <v>22.174141285539154</v>
      </c>
      <c r="T99" s="27">
        <v>15.550452795921579</v>
      </c>
      <c r="U99" s="15">
        <f t="shared" si="34"/>
        <v>21.780078329869681</v>
      </c>
      <c r="V99" s="27">
        <v>301.08575067564072</v>
      </c>
      <c r="W99" s="15">
        <f t="shared" si="35"/>
        <v>421.70291243499673</v>
      </c>
      <c r="X99" s="27">
        <v>48.301990955453093</v>
      </c>
      <c r="Y99" s="15">
        <f t="shared" si="36"/>
        <v>67.652123079936217</v>
      </c>
      <c r="Z99" s="27">
        <v>6.5337962869202109</v>
      </c>
      <c r="AA99" s="15">
        <f t="shared" si="37"/>
        <v>9.1512830390287174</v>
      </c>
      <c r="AB99" s="24">
        <v>3478.5644221337479</v>
      </c>
      <c r="AC99" s="15">
        <f t="shared" si="38"/>
        <v>4872.1028631038562</v>
      </c>
      <c r="AD99" s="24">
        <v>418.19860365818471</v>
      </c>
      <c r="AE99" s="15">
        <f t="shared" si="39"/>
        <v>585.73203395763812</v>
      </c>
      <c r="AF99" s="24">
        <v>606.09889792856723</v>
      </c>
      <c r="AG99" s="15">
        <f t="shared" si="40"/>
        <v>848.90656534413449</v>
      </c>
      <c r="AH99" s="28">
        <v>127.19404535225894</v>
      </c>
      <c r="AI99" s="15">
        <f t="shared" si="41"/>
        <v>178.14891355393601</v>
      </c>
    </row>
    <row r="100" spans="1:35" x14ac:dyDescent="0.45">
      <c r="A100" s="11" t="s">
        <v>2</v>
      </c>
      <c r="B100" s="11" t="s">
        <v>3</v>
      </c>
      <c r="C100" s="10" t="s">
        <v>6</v>
      </c>
      <c r="D100" t="s">
        <v>65</v>
      </c>
      <c r="E100" t="s">
        <v>51</v>
      </c>
      <c r="F100" t="s">
        <v>43</v>
      </c>
      <c r="G100" s="12">
        <v>1.4687517766368094</v>
      </c>
      <c r="H100" s="21">
        <v>9.9115885460466902E-2</v>
      </c>
      <c r="I100" s="13">
        <f>G100*0.2*10000*H100/100*1000</f>
        <v>2911.5326572598251</v>
      </c>
      <c r="J100" s="14">
        <v>73.889636722104228</v>
      </c>
      <c r="K100" s="14">
        <f>G100*0.2*10000*1000*J100/1000000</f>
        <v>217.05107042127804</v>
      </c>
      <c r="L100" s="22">
        <v>26564.849420729886</v>
      </c>
      <c r="M100" s="14">
        <f>G100*0.2*10000*1000*L100/1000000</f>
        <v>78034.339565572678</v>
      </c>
      <c r="N100" s="14">
        <v>108.22716430667734</v>
      </c>
      <c r="O100" s="14">
        <f>G100*0.2*10000*1000*N100/1000000</f>
        <v>317.91767971159243</v>
      </c>
      <c r="P100" s="23">
        <v>4.0816359837963061</v>
      </c>
      <c r="Q100" s="13">
        <f>G100*0.2*10000*P100/100</f>
        <v>119.89820205571112</v>
      </c>
      <c r="R100" s="23">
        <v>0.96887318807286049</v>
      </c>
      <c r="S100" s="13">
        <f>G100*0.2*10000*R100/100</f>
        <v>28.460684326355668</v>
      </c>
      <c r="T100" s="23">
        <v>21.661529570862498</v>
      </c>
      <c r="U100" s="14">
        <f>G100*0.2*10000*1000*T100/1000000</f>
        <v>63.630820083750152</v>
      </c>
      <c r="V100" s="23">
        <v>43.251641703375775</v>
      </c>
      <c r="W100" s="14">
        <f>G100*0.2*10000*1000*V100/1000000</f>
        <v>127.05185118858377</v>
      </c>
      <c r="X100" s="23">
        <v>124.74801148917996</v>
      </c>
      <c r="Y100" s="14">
        <f>G100*0.2*10000*1000*X100/1000000</f>
        <v>366.44772701328435</v>
      </c>
      <c r="Z100" s="23">
        <v>0.94069286211738712</v>
      </c>
      <c r="AA100" s="14">
        <f>G100*0.2*10000*1000*Z100/1000000</f>
        <v>2.763288625008955</v>
      </c>
      <c r="AB100" s="24">
        <v>2475.6635255253946</v>
      </c>
      <c r="AC100" s="15">
        <f>G100*0.2*10000*1000*AB100/1000000</f>
        <v>7272.2704029407405</v>
      </c>
      <c r="AD100" s="24">
        <v>668.99312865729439</v>
      </c>
      <c r="AE100" s="15">
        <f>G100*0.2*10000*1000*AD100/1000000</f>
        <v>1965.1696925464375</v>
      </c>
      <c r="AF100" s="24">
        <v>300.46348365567439</v>
      </c>
      <c r="AG100" s="15">
        <f>G100*0.2*10000*1000*AF100/1000000</f>
        <v>882.61255086751339</v>
      </c>
      <c r="AH100" s="24">
        <v>25.087242324648539</v>
      </c>
      <c r="AI100" s="15">
        <f>G100*0.2*10000*1000*AH100/1000000</f>
        <v>73.693863470491394</v>
      </c>
    </row>
    <row r="101" spans="1:35" x14ac:dyDescent="0.45">
      <c r="A101" s="11" t="s">
        <v>2</v>
      </c>
      <c r="B101" s="11" t="s">
        <v>3</v>
      </c>
      <c r="C101" s="10" t="s">
        <v>6</v>
      </c>
      <c r="D101" t="s">
        <v>65</v>
      </c>
      <c r="E101" t="s">
        <v>52</v>
      </c>
      <c r="F101" t="s">
        <v>43</v>
      </c>
      <c r="G101" s="12">
        <v>1.4687517766368094</v>
      </c>
      <c r="H101" s="21">
        <v>0.11047708260933016</v>
      </c>
      <c r="I101" s="13">
        <f>G101*0.2*10000*H101/100*1000</f>
        <v>3245.2682272021048</v>
      </c>
      <c r="J101" s="14">
        <v>89.39536223787546</v>
      </c>
      <c r="K101" s="14">
        <f>G101*0.2*10000*1000*J101/1000000</f>
        <v>262.59919421994141</v>
      </c>
      <c r="L101" s="22">
        <v>28817.574206080171</v>
      </c>
      <c r="M101" s="14">
        <f>G101*0.2*10000*1000*L101/1000000</f>
        <v>84651.726627086682</v>
      </c>
      <c r="N101" s="14">
        <v>101.4703317115499</v>
      </c>
      <c r="O101" s="14">
        <f>G101*0.2*10000*1000*N101/1000000</f>
        <v>298.0694599545306</v>
      </c>
      <c r="P101" s="23">
        <v>3.7559872399086807</v>
      </c>
      <c r="Q101" s="13">
        <f>G101*0.2*10000*P101/100</f>
        <v>110.33225863282121</v>
      </c>
      <c r="R101" s="23">
        <v>1.0643669562683999</v>
      </c>
      <c r="S101" s="13">
        <f>G101*0.2*10000*R101/100</f>
        <v>31.265817160254514</v>
      </c>
      <c r="T101" s="23">
        <v>16.196257586178099</v>
      </c>
      <c r="U101" s="14">
        <f>G101*0.2*10000*1000*T101/1000000</f>
        <v>47.576564209132968</v>
      </c>
      <c r="V101" s="23">
        <v>15.176807931830858</v>
      </c>
      <c r="W101" s="14">
        <f>G101*0.2*10000*1000*V101/1000000</f>
        <v>44.581927227104387</v>
      </c>
      <c r="X101" s="23">
        <v>18.114563313339101</v>
      </c>
      <c r="Y101" s="14">
        <f>G101*0.2*10000*1000*X101/1000000</f>
        <v>53.211594098933546</v>
      </c>
      <c r="Z101" s="23">
        <v>1.8277240321435646</v>
      </c>
      <c r="AA101" s="14">
        <f>G101*0.2*10000*1000*Z101/1000000</f>
        <v>5.3689458388253071</v>
      </c>
      <c r="AB101" s="24">
        <v>2828.2087946702864</v>
      </c>
      <c r="AC101" s="15">
        <f>G101*0.2*10000*1000*AB101/1000000</f>
        <v>8307.8733837436648</v>
      </c>
      <c r="AD101" s="24">
        <v>171.22767232868119</v>
      </c>
      <c r="AE101" s="15">
        <f>G101*0.2*10000*1000*AD101/1000000</f>
        <v>502.98189588427186</v>
      </c>
      <c r="AF101" s="24">
        <v>422.16477832761052</v>
      </c>
      <c r="AG101" s="15">
        <f>G101*0.2*10000*1000*AF101/1000000</f>
        <v>1240.1105364043256</v>
      </c>
      <c r="AH101" s="24">
        <v>13.383312319942897</v>
      </c>
      <c r="AI101" s="15">
        <f>G101*0.2*10000*1000*AH101/1000000</f>
        <v>39.313527494402855</v>
      </c>
    </row>
    <row r="102" spans="1:35" x14ac:dyDescent="0.45">
      <c r="A102" s="11" t="s">
        <v>2</v>
      </c>
      <c r="B102" s="11" t="s">
        <v>3</v>
      </c>
      <c r="C102" s="10" t="s">
        <v>6</v>
      </c>
      <c r="D102" t="s">
        <v>65</v>
      </c>
      <c r="E102" t="s">
        <v>53</v>
      </c>
      <c r="F102" t="s">
        <v>43</v>
      </c>
      <c r="G102" s="12">
        <v>1.4687517766368094</v>
      </c>
      <c r="H102" s="21">
        <v>9.444071538221939E-2</v>
      </c>
      <c r="I102" s="13">
        <f>G102*0.2*10000*H102/100*1000</f>
        <v>2774.1993700897197</v>
      </c>
      <c r="J102" s="14">
        <v>112.69889168633162</v>
      </c>
      <c r="K102" s="14">
        <f>G102*0.2*10000*1000*J102/1000000</f>
        <v>331.05339477859781</v>
      </c>
      <c r="L102" s="22">
        <v>32045.684853417777</v>
      </c>
      <c r="M102" s="14">
        <f>G102*0.2*10000*1000*L102/1000000</f>
        <v>94134.313124001303</v>
      </c>
      <c r="N102" s="14">
        <v>105.83895914890276</v>
      </c>
      <c r="O102" s="14">
        <f>G102*0.2*10000*1000*N102/1000000</f>
        <v>310.90231857468325</v>
      </c>
      <c r="P102" s="23">
        <v>3.4260071076499816</v>
      </c>
      <c r="Q102" s="13">
        <f>G102*0.2*10000*P102/100</f>
        <v>100.63908052262494</v>
      </c>
      <c r="R102" s="23">
        <v>0.86682107542951337</v>
      </c>
      <c r="S102" s="13">
        <f>G102*0.2*10000*R102/100</f>
        <v>25.462899891266552</v>
      </c>
      <c r="T102" s="23">
        <v>10.074021925580613</v>
      </c>
      <c r="U102" s="14">
        <f>G102*0.2*10000*1000*T102/1000000</f>
        <v>29.592475202149394</v>
      </c>
      <c r="V102" s="23">
        <v>8.5197163489506291</v>
      </c>
      <c r="W102" s="14">
        <f>G102*0.2*10000*1000*V102/1000000</f>
        <v>25.026697047925815</v>
      </c>
      <c r="X102" s="23">
        <v>9.9704706513207437</v>
      </c>
      <c r="Y102" s="14">
        <f>G102*0.2*10000*1000*X102/1000000</f>
        <v>29.288292966065015</v>
      </c>
      <c r="Z102" s="23">
        <v>2.2269540565044479</v>
      </c>
      <c r="AA102" s="14">
        <f>G102*0.2*10000*1000*Z102/1000000</f>
        <v>6.5416854539589142</v>
      </c>
      <c r="AB102" s="24">
        <v>2974.6957459771324</v>
      </c>
      <c r="AC102" s="15">
        <f>G102*0.2*10000*1000*AB102/1000000</f>
        <v>8738.1793237157435</v>
      </c>
      <c r="AD102" s="24">
        <v>116.88185054989795</v>
      </c>
      <c r="AE102" s="15">
        <f>G102*0.2*10000*1000*AD102/1000000</f>
        <v>343.34085130352128</v>
      </c>
      <c r="AF102" s="24">
        <v>526.4948222968377</v>
      </c>
      <c r="AG102" s="15">
        <f>G102*0.2*10000*1000*AF102/1000000</f>
        <v>1546.5804112771232</v>
      </c>
      <c r="AH102" s="24">
        <v>12.004081948367897</v>
      </c>
      <c r="AI102" s="15">
        <f>G102*0.2*10000*1000*AH102/1000000</f>
        <v>35.262033377118399</v>
      </c>
    </row>
    <row r="103" spans="1:35" x14ac:dyDescent="0.45">
      <c r="A103" s="11" t="s">
        <v>2</v>
      </c>
      <c r="B103" s="11" t="s">
        <v>3</v>
      </c>
      <c r="C103" s="10" t="s">
        <v>6</v>
      </c>
      <c r="D103" t="s">
        <v>65</v>
      </c>
      <c r="E103" t="s">
        <v>54</v>
      </c>
      <c r="F103" t="s">
        <v>43</v>
      </c>
      <c r="G103" s="12">
        <v>1.4006073402301149</v>
      </c>
      <c r="H103" s="21">
        <v>0.10057084951010099</v>
      </c>
      <c r="I103" s="13">
        <f>G103*0.1*10000*H103/100*1000</f>
        <v>1408.602700370257</v>
      </c>
      <c r="J103" s="14">
        <v>95.672776393401591</v>
      </c>
      <c r="K103" s="14">
        <f>G103*0.1*10000*1000*J103/1000000</f>
        <v>133.99999287679273</v>
      </c>
      <c r="L103" s="22">
        <v>29227.729786144886</v>
      </c>
      <c r="M103" s="14">
        <f>G103*0.1*10000*1000*L103/1000000</f>
        <v>40936.572876736893</v>
      </c>
      <c r="N103" s="14">
        <v>100.93174507464566</v>
      </c>
      <c r="O103" s="14">
        <f>G103*0.1*10000*1000*N103/1000000</f>
        <v>141.36574301378346</v>
      </c>
      <c r="P103" s="23">
        <v>3.8100216755482226</v>
      </c>
      <c r="Q103" s="13">
        <f>G103*0.1*10000*P103/100</f>
        <v>53.363443252086817</v>
      </c>
      <c r="R103" s="23">
        <v>0.98059539102581594</v>
      </c>
      <c r="S103" s="13">
        <f>G103*0.1*10000*R103/100</f>
        <v>13.734291024665776</v>
      </c>
      <c r="T103" s="23">
        <v>10.929700761071585</v>
      </c>
      <c r="U103" s="14">
        <f>G103*0.1*10000*1000*T103/1000000</f>
        <v>15.308219112475538</v>
      </c>
      <c r="V103" s="23">
        <v>8.1087481501935876</v>
      </c>
      <c r="W103" s="14">
        <f>G103*0.1*10000*1000*V103/1000000</f>
        <v>11.357172179238505</v>
      </c>
      <c r="X103" s="23">
        <v>9.7603459329324078</v>
      </c>
      <c r="Y103" s="14">
        <f>G103*0.1*10000*1000*X103/1000000</f>
        <v>13.670412156850281</v>
      </c>
      <c r="Z103" s="23">
        <v>1.6416483985054509</v>
      </c>
      <c r="AA103" s="14">
        <f>G103*0.1*10000*1000*Z103/1000000</f>
        <v>2.2993047970237477</v>
      </c>
      <c r="AB103" s="24">
        <v>3292.2960611119456</v>
      </c>
      <c r="AC103" s="15">
        <f>G103*0.1*10000*1000*AB103/1000000</f>
        <v>4611.2140294040864</v>
      </c>
      <c r="AD103" s="24">
        <v>123.8985303090103</v>
      </c>
      <c r="AE103" s="15">
        <f>G103*0.1*10000*1000*AD103/1000000</f>
        <v>173.53319099452321</v>
      </c>
      <c r="AF103" s="24">
        <v>511.67255646698146</v>
      </c>
      <c r="AG103" s="15">
        <f>G103*0.1*10000*1000*AF103/1000000</f>
        <v>716.65233838196218</v>
      </c>
      <c r="AH103" s="24">
        <v>17.970015846345007</v>
      </c>
      <c r="AI103" s="15">
        <f>G103*0.1*10000*1000*AH103/1000000</f>
        <v>25.168936098442298</v>
      </c>
    </row>
    <row r="104" spans="1:35" x14ac:dyDescent="0.45">
      <c r="A104" s="11" t="s">
        <v>2</v>
      </c>
      <c r="B104" s="11" t="s">
        <v>3</v>
      </c>
      <c r="C104" s="10" t="s">
        <v>6</v>
      </c>
      <c r="D104" t="s">
        <v>65</v>
      </c>
      <c r="E104" t="s">
        <v>55</v>
      </c>
      <c r="F104" t="s">
        <v>43</v>
      </c>
      <c r="G104" s="12">
        <v>1.4687517766368094</v>
      </c>
      <c r="H104" s="21">
        <v>0.11143218250334368</v>
      </c>
      <c r="I104" s="13">
        <f t="shared" ref="I104:I139" si="42">G104*0.2*10000*H104/100*1000</f>
        <v>3273.3243205260642</v>
      </c>
      <c r="J104" s="14">
        <v>102.19271451052951</v>
      </c>
      <c r="K104" s="14">
        <f t="shared" ref="K104:K139" si="43">G104*0.2*10000*1000*J104/1000000</f>
        <v>300.19146199335694</v>
      </c>
      <c r="L104" s="22">
        <v>29597.323919559021</v>
      </c>
      <c r="M104" s="14">
        <f t="shared" ref="M104:M139" si="44">G104*0.2*10000*1000*L104/1000000</f>
        <v>86942.244181094895</v>
      </c>
      <c r="N104" s="14">
        <v>107.97720778471044</v>
      </c>
      <c r="O104" s="14">
        <f t="shared" ref="O104:O139" si="45">G104*0.2*10000*1000*N104/1000000</f>
        <v>317.18343154015076</v>
      </c>
      <c r="P104" s="23">
        <v>3.8151972459456682</v>
      </c>
      <c r="Q104" s="13">
        <f t="shared" ref="Q104:Q139" si="46">G104*0.2*10000*P104/100</f>
        <v>112.07155466405125</v>
      </c>
      <c r="R104" s="23">
        <v>1.0563583772376448</v>
      </c>
      <c r="S104" s="13">
        <f t="shared" ref="S104:S139" si="47">G104*0.2*10000*R104/100</f>
        <v>31.030564866659358</v>
      </c>
      <c r="T104" s="23">
        <v>14.454019869420026</v>
      </c>
      <c r="U104" s="14">
        <f t="shared" ref="U104:U139" si="48">G104*0.2*10000*1000*T104/1000000</f>
        <v>42.458734725508819</v>
      </c>
      <c r="V104" s="23">
        <v>10.104762896798126</v>
      </c>
      <c r="W104" s="14">
        <f t="shared" ref="W104:W139" si="49">G104*0.2*10000*1000*V104/1000000</f>
        <v>29.682776914331921</v>
      </c>
      <c r="X104" s="23">
        <v>11.074363852088258</v>
      </c>
      <c r="Y104" s="14">
        <f t="shared" ref="Y104:Y139" si="50">G104*0.2*10000*1000*X104/1000000</f>
        <v>32.530983165754179</v>
      </c>
      <c r="Z104" s="23">
        <v>3.8498861460049314</v>
      </c>
      <c r="AA104" s="14">
        <f t="shared" ref="AA104:AA139" si="51">G104*0.2*10000*1000*Z104/1000000</f>
        <v>11.309054233588364</v>
      </c>
      <c r="AB104" s="24">
        <v>3213.5173935384664</v>
      </c>
      <c r="AC104" s="15">
        <f t="shared" ref="AC104:AC139" si="52">G104*0.2*10000*1000*AB104/1000000</f>
        <v>9439.7187620258228</v>
      </c>
      <c r="AD104" s="24">
        <v>133.72897789130661</v>
      </c>
      <c r="AE104" s="15">
        <f t="shared" ref="AE104:AE139" si="53">G104*0.2*10000*1000*AD104/1000000</f>
        <v>392.82934773136236</v>
      </c>
      <c r="AF104" s="24">
        <v>481.62541661605928</v>
      </c>
      <c r="AG104" s="15">
        <f t="shared" ref="AG104:AG139" si="54">G104*0.2*10000*1000*AF104/1000000</f>
        <v>1414.7763726565611</v>
      </c>
      <c r="AH104" s="24">
        <v>22.924967638509706</v>
      </c>
      <c r="AI104" s="15">
        <f t="shared" ref="AI104:AI139" si="55">G104*0.2*10000*1000*AH104/1000000</f>
        <v>67.342173896804979</v>
      </c>
    </row>
    <row r="105" spans="1:35" x14ac:dyDescent="0.45">
      <c r="A105" s="11" t="s">
        <v>2</v>
      </c>
      <c r="B105" s="11" t="s">
        <v>3</v>
      </c>
      <c r="C105" s="10" t="s">
        <v>6</v>
      </c>
      <c r="D105" t="s">
        <v>65</v>
      </c>
      <c r="E105" t="s">
        <v>56</v>
      </c>
      <c r="F105" t="s">
        <v>43</v>
      </c>
      <c r="G105" s="12">
        <v>1.4687517766368094</v>
      </c>
      <c r="H105" s="21">
        <v>9.6661388626755593E-2</v>
      </c>
      <c r="I105" s="13">
        <f t="shared" si="42"/>
        <v>2839.4317255545675</v>
      </c>
      <c r="J105" s="14">
        <v>109.47123342556951</v>
      </c>
      <c r="K105" s="14">
        <f t="shared" si="43"/>
        <v>321.57213716885616</v>
      </c>
      <c r="L105" s="22">
        <v>30469.493303450174</v>
      </c>
      <c r="M105" s="14">
        <f t="shared" si="44"/>
        <v>89504.244845331617</v>
      </c>
      <c r="N105" s="14">
        <v>115.8570553753944</v>
      </c>
      <c r="O105" s="14">
        <f t="shared" si="45"/>
        <v>340.33051183703941</v>
      </c>
      <c r="P105" s="23">
        <v>3.7809612485456889</v>
      </c>
      <c r="Q105" s="13">
        <f t="shared" si="46"/>
        <v>111.0658710239282</v>
      </c>
      <c r="R105" s="23">
        <v>0.92218567037699728</v>
      </c>
      <c r="S105" s="13">
        <f t="shared" si="47"/>
        <v>27.08923683510444</v>
      </c>
      <c r="T105" s="23">
        <v>8.8089377468847534</v>
      </c>
      <c r="U105" s="14">
        <f t="shared" si="48"/>
        <v>25.876285932040069</v>
      </c>
      <c r="V105" s="23">
        <v>6.5838738830397174</v>
      </c>
      <c r="W105" s="14">
        <f t="shared" si="49"/>
        <v>19.340152925734547</v>
      </c>
      <c r="X105" s="23">
        <v>9.1872394872216141</v>
      </c>
      <c r="Y105" s="14">
        <f t="shared" si="50"/>
        <v>26.987548638489191</v>
      </c>
      <c r="Z105" s="23">
        <v>1.0281407639703859</v>
      </c>
      <c r="AA105" s="14">
        <f t="shared" si="51"/>
        <v>3.0201671474284613</v>
      </c>
      <c r="AB105" s="24">
        <v>3116.8202759567225</v>
      </c>
      <c r="AC105" s="15">
        <f t="shared" si="52"/>
        <v>9155.6706355381339</v>
      </c>
      <c r="AD105" s="24">
        <v>107.69288440910513</v>
      </c>
      <c r="AE105" s="15">
        <f t="shared" si="53"/>
        <v>316.34823061403142</v>
      </c>
      <c r="AF105" s="24">
        <v>496.64194266334897</v>
      </c>
      <c r="AG105" s="15">
        <f t="shared" si="54"/>
        <v>1458.8874712783004</v>
      </c>
      <c r="AH105" s="24">
        <v>16.101654562138052</v>
      </c>
      <c r="AI105" s="15">
        <f t="shared" si="55"/>
        <v>47.298667489864904</v>
      </c>
    </row>
    <row r="106" spans="1:35" x14ac:dyDescent="0.45">
      <c r="A106" s="11" t="s">
        <v>2</v>
      </c>
      <c r="B106" s="11" t="s">
        <v>3</v>
      </c>
      <c r="C106" s="10" t="s">
        <v>6</v>
      </c>
      <c r="D106" t="s">
        <v>65</v>
      </c>
      <c r="E106" t="s">
        <v>57</v>
      </c>
      <c r="F106" t="s">
        <v>43</v>
      </c>
      <c r="G106" s="12">
        <v>1.4687517766368094</v>
      </c>
      <c r="H106" s="21">
        <v>0.10589841867707142</v>
      </c>
      <c r="I106" s="13">
        <f t="shared" si="42"/>
        <v>3110.769811499546</v>
      </c>
      <c r="J106" s="14">
        <v>90.846954092972325</v>
      </c>
      <c r="K106" s="14">
        <f t="shared" si="43"/>
        <v>266.86325045219155</v>
      </c>
      <c r="L106" s="22">
        <v>32716.283050183149</v>
      </c>
      <c r="M106" s="14">
        <f t="shared" si="44"/>
        <v>96104.197709818473</v>
      </c>
      <c r="N106" s="14">
        <v>141.29641085441418</v>
      </c>
      <c r="O106" s="14">
        <f t="shared" si="45"/>
        <v>415.05870894965074</v>
      </c>
      <c r="P106" s="23">
        <v>4.2478821912357798</v>
      </c>
      <c r="Q106" s="13">
        <f t="shared" si="46"/>
        <v>124.78169030642829</v>
      </c>
      <c r="R106" s="23">
        <v>1.0157979152955128</v>
      </c>
      <c r="S106" s="13">
        <f t="shared" si="47"/>
        <v>29.839099855885035</v>
      </c>
      <c r="T106" s="23">
        <v>18.301365615985112</v>
      </c>
      <c r="U106" s="14">
        <f t="shared" si="48"/>
        <v>53.7603265267159</v>
      </c>
      <c r="V106" s="23">
        <v>10.362275637305936</v>
      </c>
      <c r="W106" s="14">
        <f t="shared" si="49"/>
        <v>30.43922150458684</v>
      </c>
      <c r="X106" s="23">
        <v>15.192580767551592</v>
      </c>
      <c r="Y106" s="14">
        <f t="shared" si="50"/>
        <v>44.628259988079243</v>
      </c>
      <c r="Z106" s="23">
        <v>2.3592227162462986</v>
      </c>
      <c r="AA106" s="14">
        <f t="shared" si="51"/>
        <v>6.9302251119373404</v>
      </c>
      <c r="AB106" s="24">
        <v>3304.1056899035275</v>
      </c>
      <c r="AC106" s="15">
        <f t="shared" si="52"/>
        <v>9705.8222044831928</v>
      </c>
      <c r="AD106" s="24">
        <v>165.74791158668037</v>
      </c>
      <c r="AE106" s="15">
        <f t="shared" si="53"/>
        <v>486.88507923355519</v>
      </c>
      <c r="AF106" s="24">
        <v>488.36438235361186</v>
      </c>
      <c r="AG106" s="15">
        <f t="shared" si="54"/>
        <v>1434.5721084560112</v>
      </c>
      <c r="AH106" s="24">
        <v>15.785515389207655</v>
      </c>
      <c r="AI106" s="15">
        <f t="shared" si="55"/>
        <v>46.370007546052875</v>
      </c>
    </row>
    <row r="107" spans="1:35" x14ac:dyDescent="0.45">
      <c r="A107" s="11" t="s">
        <v>2</v>
      </c>
      <c r="B107" s="11" t="s">
        <v>3</v>
      </c>
      <c r="C107" s="10" t="s">
        <v>6</v>
      </c>
      <c r="D107" t="s">
        <v>65</v>
      </c>
      <c r="E107" t="s">
        <v>51</v>
      </c>
      <c r="F107" t="s">
        <v>44</v>
      </c>
      <c r="G107" s="12">
        <v>1.4687517766368094</v>
      </c>
      <c r="H107" s="21">
        <v>0.10129782693783353</v>
      </c>
      <c r="I107" s="13">
        <f t="shared" si="42"/>
        <v>2975.6272656878209</v>
      </c>
      <c r="J107" s="14">
        <v>90.023907400674105</v>
      </c>
      <c r="K107" s="14">
        <f t="shared" si="43"/>
        <v>264.44554786905542</v>
      </c>
      <c r="L107" s="22">
        <v>28980.958425243749</v>
      </c>
      <c r="M107" s="14">
        <f t="shared" si="44"/>
        <v>85131.668351428525</v>
      </c>
      <c r="N107" s="14">
        <v>96.282253904464284</v>
      </c>
      <c r="O107" s="14">
        <f t="shared" si="45"/>
        <v>282.82946296155654</v>
      </c>
      <c r="P107" s="23">
        <v>4.0952116182201417</v>
      </c>
      <c r="Q107" s="13">
        <f t="shared" si="46"/>
        <v>120.29698679929072</v>
      </c>
      <c r="R107" s="23">
        <v>0.8929408791607828</v>
      </c>
      <c r="S107" s="13">
        <f t="shared" si="47"/>
        <v>26.230170053980686</v>
      </c>
      <c r="T107" s="23">
        <v>16.197484978373943</v>
      </c>
      <c r="U107" s="14">
        <f t="shared" si="48"/>
        <v>47.580169678069517</v>
      </c>
      <c r="V107" s="23">
        <v>5.5452325710836403</v>
      </c>
      <c r="W107" s="14">
        <f t="shared" si="49"/>
        <v>16.289140381286799</v>
      </c>
      <c r="X107" s="23">
        <v>14.95118535586098</v>
      </c>
      <c r="Y107" s="14">
        <f t="shared" si="50"/>
        <v>43.919160108494125</v>
      </c>
      <c r="Z107" s="23">
        <v>5.8821350425616279</v>
      </c>
      <c r="AA107" s="14">
        <f t="shared" si="51"/>
        <v>17.278792588360048</v>
      </c>
      <c r="AB107" s="24">
        <v>2746.0397331865856</v>
      </c>
      <c r="AC107" s="15">
        <f t="shared" si="52"/>
        <v>8066.5014736661351</v>
      </c>
      <c r="AD107" s="24">
        <v>142.88664056888794</v>
      </c>
      <c r="AE107" s="15">
        <f t="shared" si="53"/>
        <v>419.73001438643871</v>
      </c>
      <c r="AF107" s="24">
        <v>437.71611723567776</v>
      </c>
      <c r="AG107" s="15">
        <f t="shared" si="54"/>
        <v>1285.7926497049352</v>
      </c>
      <c r="AH107" s="24">
        <v>11.974302977251876</v>
      </c>
      <c r="AI107" s="15">
        <f t="shared" si="55"/>
        <v>35.174557543652256</v>
      </c>
    </row>
    <row r="108" spans="1:35" x14ac:dyDescent="0.45">
      <c r="A108" s="11" t="s">
        <v>2</v>
      </c>
      <c r="B108" s="11" t="s">
        <v>3</v>
      </c>
      <c r="C108" s="10" t="s">
        <v>6</v>
      </c>
      <c r="D108" t="s">
        <v>65</v>
      </c>
      <c r="E108" t="s">
        <v>52</v>
      </c>
      <c r="F108" t="s">
        <v>44</v>
      </c>
      <c r="G108" s="12">
        <v>1.4687517766368094</v>
      </c>
      <c r="H108" s="21">
        <v>9.9490639363380456E-2</v>
      </c>
      <c r="I108" s="13">
        <f t="shared" si="42"/>
        <v>2922.5410664739425</v>
      </c>
      <c r="J108" s="14">
        <v>114.07520112858593</v>
      </c>
      <c r="K108" s="14">
        <f t="shared" si="43"/>
        <v>335.09630865562389</v>
      </c>
      <c r="L108" s="22">
        <v>31166.974594060081</v>
      </c>
      <c r="M108" s="14">
        <f t="shared" si="44"/>
        <v>91553.098614840084</v>
      </c>
      <c r="N108" s="14">
        <v>101.85285815052313</v>
      </c>
      <c r="O108" s="14">
        <f t="shared" si="45"/>
        <v>299.19313272823553</v>
      </c>
      <c r="P108" s="23">
        <v>3.820561820941013</v>
      </c>
      <c r="Q108" s="13">
        <f t="shared" si="46"/>
        <v>112.22913924515753</v>
      </c>
      <c r="R108" s="23">
        <v>0.97062921937420332</v>
      </c>
      <c r="S108" s="13">
        <f t="shared" si="47"/>
        <v>28.512267808229211</v>
      </c>
      <c r="T108" s="23">
        <v>19.3234801592743</v>
      </c>
      <c r="U108" s="14">
        <f t="shared" si="48"/>
        <v>56.762791629480525</v>
      </c>
      <c r="V108" s="23">
        <v>9.9403361336057152</v>
      </c>
      <c r="W108" s="14">
        <f t="shared" si="49"/>
        <v>29.199772713200936</v>
      </c>
      <c r="X108" s="23">
        <v>15.693351185289602</v>
      </c>
      <c r="Y108" s="14">
        <f t="shared" si="50"/>
        <v>46.099274869558961</v>
      </c>
      <c r="Z108" s="23">
        <v>2.7308615751664043</v>
      </c>
      <c r="AA108" s="14">
        <f t="shared" si="51"/>
        <v>8.0219155805497042</v>
      </c>
      <c r="AB108" s="24">
        <v>2887.0213429063365</v>
      </c>
      <c r="AC108" s="15">
        <f t="shared" si="52"/>
        <v>8480.6354531641373</v>
      </c>
      <c r="AD108" s="24">
        <v>158.04861366275566</v>
      </c>
      <c r="AE108" s="15">
        <f t="shared" si="53"/>
        <v>464.26836422431415</v>
      </c>
      <c r="AF108" s="24">
        <v>456.23366477315466</v>
      </c>
      <c r="AG108" s="15">
        <f t="shared" si="54"/>
        <v>1340.1880113941868</v>
      </c>
      <c r="AH108" s="24">
        <v>12.959986320345966</v>
      </c>
      <c r="AI108" s="15">
        <f t="shared" si="55"/>
        <v>38.070005866393764</v>
      </c>
    </row>
    <row r="109" spans="1:35" x14ac:dyDescent="0.45">
      <c r="A109" s="11" t="s">
        <v>2</v>
      </c>
      <c r="B109" s="11" t="s">
        <v>3</v>
      </c>
      <c r="C109" s="10" t="s">
        <v>6</v>
      </c>
      <c r="D109" t="s">
        <v>65</v>
      </c>
      <c r="E109" t="s">
        <v>53</v>
      </c>
      <c r="F109" t="s">
        <v>44</v>
      </c>
      <c r="G109" s="12">
        <v>1.4687517766368094</v>
      </c>
      <c r="H109" s="21">
        <v>9.8748698489336539E-2</v>
      </c>
      <c r="I109" s="13">
        <f t="shared" si="42"/>
        <v>2900.7465269357131</v>
      </c>
      <c r="J109" s="14">
        <v>88.3803331512661</v>
      </c>
      <c r="K109" s="14">
        <f t="shared" si="43"/>
        <v>259.61754267135035</v>
      </c>
      <c r="L109" s="22">
        <v>28214.440392898905</v>
      </c>
      <c r="M109" s="14">
        <f t="shared" si="44"/>
        <v>82880.01890776724</v>
      </c>
      <c r="N109" s="14">
        <v>99.030817273088871</v>
      </c>
      <c r="O109" s="14">
        <f t="shared" si="45"/>
        <v>290.90337762328897</v>
      </c>
      <c r="P109" s="23">
        <v>3.4993006409942531</v>
      </c>
      <c r="Q109" s="13">
        <f t="shared" si="46"/>
        <v>102.7920806689327</v>
      </c>
      <c r="R109" s="23">
        <v>0.94878996971564289</v>
      </c>
      <c r="S109" s="13">
        <f t="shared" si="47"/>
        <v>27.870739073500701</v>
      </c>
      <c r="T109" s="23">
        <v>15.757344929358483</v>
      </c>
      <c r="U109" s="14">
        <f t="shared" si="48"/>
        <v>46.287256720148584</v>
      </c>
      <c r="V109" s="23">
        <v>6.4907452474835408</v>
      </c>
      <c r="W109" s="14">
        <f t="shared" si="49"/>
        <v>19.066587227876756</v>
      </c>
      <c r="X109" s="23">
        <v>11.129867044522165</v>
      </c>
      <c r="Y109" s="14">
        <f t="shared" si="50"/>
        <v>32.694023990746807</v>
      </c>
      <c r="Z109" s="23">
        <v>2.1434554073085179</v>
      </c>
      <c r="AA109" s="14">
        <f t="shared" si="51"/>
        <v>6.2964078752523234</v>
      </c>
      <c r="AB109" s="24">
        <v>2851.6671236180455</v>
      </c>
      <c r="AC109" s="15">
        <f t="shared" si="52"/>
        <v>8376.7823083815674</v>
      </c>
      <c r="AD109" s="24">
        <v>116.73491149313637</v>
      </c>
      <c r="AE109" s="15">
        <f t="shared" si="53"/>
        <v>342.90921730216945</v>
      </c>
      <c r="AF109" s="24">
        <v>511.08309989852148</v>
      </c>
      <c r="AG109" s="15">
        <f t="shared" si="54"/>
        <v>1501.3084219700027</v>
      </c>
      <c r="AH109" s="24">
        <v>18.540250648909893</v>
      </c>
      <c r="AI109" s="15">
        <f t="shared" si="55"/>
        <v>54.462052159756325</v>
      </c>
    </row>
    <row r="110" spans="1:35" x14ac:dyDescent="0.45">
      <c r="A110" s="11" t="s">
        <v>2</v>
      </c>
      <c r="B110" s="11" t="s">
        <v>3</v>
      </c>
      <c r="C110" s="10" t="s">
        <v>6</v>
      </c>
      <c r="D110" t="s">
        <v>65</v>
      </c>
      <c r="E110" t="s">
        <v>54</v>
      </c>
      <c r="F110" t="s">
        <v>44</v>
      </c>
      <c r="G110" s="12">
        <v>1.4687517766368094</v>
      </c>
      <c r="H110" s="21">
        <v>0.10169312906016569</v>
      </c>
      <c r="I110" s="13">
        <f t="shared" si="42"/>
        <v>2987.239279577494</v>
      </c>
      <c r="J110" s="14">
        <v>115.95774340412395</v>
      </c>
      <c r="K110" s="14">
        <f t="shared" si="43"/>
        <v>340.62628327920459</v>
      </c>
      <c r="L110" s="22">
        <v>29582.92036451666</v>
      </c>
      <c r="M110" s="14">
        <f t="shared" si="44"/>
        <v>86899.933686978184</v>
      </c>
      <c r="N110" s="14">
        <v>115.95774340412395</v>
      </c>
      <c r="O110" s="14">
        <f t="shared" si="45"/>
        <v>340.62628327920459</v>
      </c>
      <c r="P110" s="23">
        <v>3.8608450234987255</v>
      </c>
      <c r="Q110" s="13">
        <f t="shared" si="46"/>
        <v>113.41245975166274</v>
      </c>
      <c r="R110" s="23">
        <v>1.3384262748128917</v>
      </c>
      <c r="S110" s="13">
        <f t="shared" si="47"/>
        <v>39.316319380576424</v>
      </c>
      <c r="T110" s="23">
        <v>21.4145776242793</v>
      </c>
      <c r="U110" s="14">
        <f t="shared" si="48"/>
        <v>62.905397863174173</v>
      </c>
      <c r="V110" s="23">
        <v>13.784511208972845</v>
      </c>
      <c r="W110" s="14">
        <f t="shared" si="49"/>
        <v>40.492050656497753</v>
      </c>
      <c r="X110" s="23">
        <v>15.187844119055999</v>
      </c>
      <c r="Y110" s="14">
        <f t="shared" si="50"/>
        <v>44.614346066292832</v>
      </c>
      <c r="Z110" s="23">
        <v>7.8128818043636699</v>
      </c>
      <c r="AA110" s="14">
        <f t="shared" si="51"/>
        <v>22.950368061625081</v>
      </c>
      <c r="AB110" s="24">
        <v>3423.2825875022031</v>
      </c>
      <c r="AC110" s="15">
        <f t="shared" si="52"/>
        <v>10055.904764647428</v>
      </c>
      <c r="AD110" s="24">
        <v>174.23300618866043</v>
      </c>
      <c r="AE110" s="15">
        <f t="shared" si="53"/>
        <v>511.81007477673444</v>
      </c>
      <c r="AF110" s="24">
        <v>570.21711116288861</v>
      </c>
      <c r="AG110" s="15">
        <f t="shared" si="54"/>
        <v>1675.0147901784035</v>
      </c>
      <c r="AH110" s="24">
        <v>24.650010534645705</v>
      </c>
      <c r="AI110" s="15">
        <f t="shared" si="55"/>
        <v>72.409493533753889</v>
      </c>
    </row>
    <row r="111" spans="1:35" x14ac:dyDescent="0.45">
      <c r="A111" s="11" t="s">
        <v>2</v>
      </c>
      <c r="B111" s="11" t="s">
        <v>3</v>
      </c>
      <c r="C111" s="10" t="s">
        <v>6</v>
      </c>
      <c r="D111" t="s">
        <v>65</v>
      </c>
      <c r="E111" t="s">
        <v>55</v>
      </c>
      <c r="F111" t="s">
        <v>44</v>
      </c>
      <c r="G111" s="12">
        <v>1.4687517766368094</v>
      </c>
      <c r="H111" s="21">
        <v>0.10685972578789626</v>
      </c>
      <c r="I111" s="13">
        <f t="shared" si="42"/>
        <v>3139.0082420378985</v>
      </c>
      <c r="J111" s="14">
        <v>65.30555083073682</v>
      </c>
      <c r="K111" s="14">
        <f t="shared" si="43"/>
        <v>191.83528761378031</v>
      </c>
      <c r="L111" s="22">
        <v>30637.17199466666</v>
      </c>
      <c r="M111" s="14">
        <f t="shared" si="44"/>
        <v>89996.801596588324</v>
      </c>
      <c r="N111" s="14">
        <v>106.60302536155943</v>
      </c>
      <c r="O111" s="14">
        <f t="shared" si="45"/>
        <v>313.14676578929851</v>
      </c>
      <c r="P111" s="23">
        <v>3.3783663307943477</v>
      </c>
      <c r="Q111" s="13">
        <f t="shared" si="46"/>
        <v>99.239631009683549</v>
      </c>
      <c r="R111" s="23">
        <v>0.98279747804926476</v>
      </c>
      <c r="S111" s="13">
        <f t="shared" si="47"/>
        <v>28.869710839180666</v>
      </c>
      <c r="T111" s="23">
        <v>16.874346722335108</v>
      </c>
      <c r="U111" s="14">
        <f t="shared" si="48"/>
        <v>49.568453456030419</v>
      </c>
      <c r="V111" s="23">
        <v>7.349779041806527</v>
      </c>
      <c r="W111" s="14">
        <f t="shared" si="49"/>
        <v>21.590002051082646</v>
      </c>
      <c r="X111" s="23">
        <v>13.714333010984832</v>
      </c>
      <c r="Y111" s="14">
        <f t="shared" si="50"/>
        <v>40.285901950545629</v>
      </c>
      <c r="Z111" s="23">
        <v>4.9655343660462332</v>
      </c>
      <c r="AA111" s="14">
        <f t="shared" si="51"/>
        <v>14.586274844163075</v>
      </c>
      <c r="AB111" s="24">
        <v>3458.5276816965575</v>
      </c>
      <c r="AC111" s="15">
        <f t="shared" si="52"/>
        <v>10159.437354078807</v>
      </c>
      <c r="AD111" s="24">
        <v>167.0832976636427</v>
      </c>
      <c r="AE111" s="15">
        <f t="shared" si="53"/>
        <v>490.80778057962414</v>
      </c>
      <c r="AF111" s="24">
        <v>576.58224685083633</v>
      </c>
      <c r="AG111" s="15">
        <f t="shared" si="54"/>
        <v>1693.7123988788185</v>
      </c>
      <c r="AH111" s="24">
        <v>19.21940822836121</v>
      </c>
      <c r="AI111" s="15">
        <f t="shared" si="55"/>
        <v>56.457079962627276</v>
      </c>
    </row>
    <row r="112" spans="1:35" x14ac:dyDescent="0.45">
      <c r="A112" s="11" t="s">
        <v>2</v>
      </c>
      <c r="B112" s="11" t="s">
        <v>3</v>
      </c>
      <c r="C112" s="10" t="s">
        <v>6</v>
      </c>
      <c r="D112" t="s">
        <v>65</v>
      </c>
      <c r="E112" t="s">
        <v>56</v>
      </c>
      <c r="F112" t="s">
        <v>44</v>
      </c>
      <c r="G112" s="12">
        <v>1.4687517766368094</v>
      </c>
      <c r="H112" s="21">
        <v>0.13152555555159406</v>
      </c>
      <c r="I112" s="13">
        <f t="shared" si="42"/>
        <v>3863.5678677909427</v>
      </c>
      <c r="J112" s="14">
        <v>78.117884891019685</v>
      </c>
      <c r="K112" s="14">
        <f t="shared" si="43"/>
        <v>229.47156444158986</v>
      </c>
      <c r="L112" s="22">
        <v>28734.025151139969</v>
      </c>
      <c r="M112" s="14">
        <f t="shared" si="44"/>
        <v>84406.300981327193</v>
      </c>
      <c r="N112" s="14">
        <v>108.08211295382924</v>
      </c>
      <c r="O112" s="14">
        <f t="shared" si="45"/>
        <v>317.491590847194</v>
      </c>
      <c r="P112" s="23">
        <v>3.7881638259042028</v>
      </c>
      <c r="Q112" s="13">
        <f t="shared" si="46"/>
        <v>111.27744698976181</v>
      </c>
      <c r="R112" s="23">
        <v>1.2661248366903533</v>
      </c>
      <c r="S112" s="13">
        <f t="shared" si="47"/>
        <v>37.192462066658933</v>
      </c>
      <c r="T112" s="23">
        <v>15.595432537056467</v>
      </c>
      <c r="U112" s="14">
        <f t="shared" si="48"/>
        <v>45.811638492442377</v>
      </c>
      <c r="V112" s="23">
        <v>7.4595266396489306</v>
      </c>
      <c r="W112" s="14">
        <f t="shared" si="49"/>
        <v>21.912386009707951</v>
      </c>
      <c r="X112" s="23">
        <v>22.497420416882374</v>
      </c>
      <c r="Y112" s="14">
        <f t="shared" si="50"/>
        <v>66.086252414082423</v>
      </c>
      <c r="Z112" s="23">
        <v>13.648374109063546</v>
      </c>
      <c r="AA112" s="14">
        <f t="shared" si="51"/>
        <v>40.092147441781826</v>
      </c>
      <c r="AB112" s="24">
        <v>3285.3821740583762</v>
      </c>
      <c r="AC112" s="15">
        <f t="shared" si="52"/>
        <v>9650.8218101582879</v>
      </c>
      <c r="AD112" s="24">
        <v>225.95865887768403</v>
      </c>
      <c r="AE112" s="15">
        <f t="shared" si="53"/>
        <v>663.75436334613835</v>
      </c>
      <c r="AF112" s="24">
        <v>532.2791838834147</v>
      </c>
      <c r="AG112" s="15">
        <f t="shared" si="54"/>
        <v>1563.5719939911125</v>
      </c>
      <c r="AH112" s="24">
        <v>13.708788927725601</v>
      </c>
      <c r="AI112" s="15">
        <f t="shared" si="55"/>
        <v>40.269616186271996</v>
      </c>
    </row>
    <row r="113" spans="1:35" x14ac:dyDescent="0.45">
      <c r="A113" s="11" t="s">
        <v>2</v>
      </c>
      <c r="B113" s="11" t="s">
        <v>3</v>
      </c>
      <c r="C113" s="10" t="s">
        <v>6</v>
      </c>
      <c r="D113" t="s">
        <v>65</v>
      </c>
      <c r="E113" t="s">
        <v>57</v>
      </c>
      <c r="F113" t="s">
        <v>44</v>
      </c>
      <c r="G113" s="12">
        <v>1.4687517766368094</v>
      </c>
      <c r="H113" s="21">
        <v>0.1146220100496604</v>
      </c>
      <c r="I113" s="13">
        <f t="shared" si="42"/>
        <v>3367.0256180424185</v>
      </c>
      <c r="J113" s="14">
        <v>95.080245636151773</v>
      </c>
      <c r="K113" s="14">
        <f t="shared" si="43"/>
        <v>279.29855940232432</v>
      </c>
      <c r="L113" s="22">
        <v>33329.204384285462</v>
      </c>
      <c r="M113" s="14">
        <f t="shared" si="44"/>
        <v>97904.656306621211</v>
      </c>
      <c r="N113" s="14">
        <v>118.594714987028</v>
      </c>
      <c r="O113" s="14">
        <f t="shared" si="45"/>
        <v>348.37239667386683</v>
      </c>
      <c r="P113" s="23">
        <v>3.5795463271899317</v>
      </c>
      <c r="Q113" s="13">
        <f t="shared" si="46"/>
        <v>105.14930055227957</v>
      </c>
      <c r="R113" s="23">
        <v>1.0109381558058019</v>
      </c>
      <c r="S113" s="13">
        <f t="shared" si="47"/>
        <v>29.696344248194222</v>
      </c>
      <c r="T113" s="23">
        <v>18.949427223872473</v>
      </c>
      <c r="U113" s="14">
        <f t="shared" si="48"/>
        <v>55.66400980262523</v>
      </c>
      <c r="V113" s="23">
        <v>9.7870585111544877</v>
      </c>
      <c r="W113" s="14">
        <f t="shared" si="49"/>
        <v>28.749519152613118</v>
      </c>
      <c r="X113" s="23">
        <v>11.571814473545396</v>
      </c>
      <c r="Y113" s="14">
        <f t="shared" si="50"/>
        <v>33.992246133862686</v>
      </c>
      <c r="Z113" s="23">
        <v>4.2969939746694132</v>
      </c>
      <c r="AA113" s="14">
        <f t="shared" si="51"/>
        <v>12.62243506898673</v>
      </c>
      <c r="AB113" s="24">
        <v>3191.6761776154603</v>
      </c>
      <c r="AC113" s="15">
        <f t="shared" si="52"/>
        <v>9375.5601126441761</v>
      </c>
      <c r="AD113" s="24">
        <v>150.60915382412969</v>
      </c>
      <c r="AE113" s="15">
        <f t="shared" si="53"/>
        <v>442.414924513914</v>
      </c>
      <c r="AF113" s="24">
        <v>594.18405892259386</v>
      </c>
      <c r="AG113" s="15">
        <f t="shared" si="54"/>
        <v>1745.4177843836608</v>
      </c>
      <c r="AH113" s="24">
        <v>26.820808215255969</v>
      </c>
      <c r="AI113" s="15">
        <f t="shared" si="55"/>
        <v>78.78621943398467</v>
      </c>
    </row>
    <row r="114" spans="1:35" x14ac:dyDescent="0.45">
      <c r="A114" s="11" t="s">
        <v>2</v>
      </c>
      <c r="B114" s="11" t="s">
        <v>3</v>
      </c>
      <c r="C114" s="10" t="s">
        <v>6</v>
      </c>
      <c r="D114" t="s">
        <v>65</v>
      </c>
      <c r="E114" t="s">
        <v>51</v>
      </c>
      <c r="F114" t="s">
        <v>45</v>
      </c>
      <c r="G114" s="12">
        <v>1.4687517766368094</v>
      </c>
      <c r="H114" s="21">
        <v>9.7009504353714915E-2</v>
      </c>
      <c r="I114" s="13">
        <f t="shared" si="42"/>
        <v>2849.6576374035017</v>
      </c>
      <c r="J114" s="14">
        <v>97.968274575033448</v>
      </c>
      <c r="K114" s="14">
        <f t="shared" si="43"/>
        <v>287.78215467224629</v>
      </c>
      <c r="L114" s="22">
        <v>26989.299172141567</v>
      </c>
      <c r="M114" s="14">
        <f t="shared" si="44"/>
        <v>79281.16221853059</v>
      </c>
      <c r="N114" s="14">
        <v>92.68567153422282</v>
      </c>
      <c r="O114" s="14">
        <f t="shared" si="45"/>
        <v>272.26448946933101</v>
      </c>
      <c r="P114" s="23">
        <v>4.0810970700636933</v>
      </c>
      <c r="Q114" s="13">
        <f t="shared" si="46"/>
        <v>119.88237144566654</v>
      </c>
      <c r="R114" s="23">
        <v>0.91260713375796165</v>
      </c>
      <c r="S114" s="13">
        <f t="shared" si="47"/>
        <v>26.807866981568651</v>
      </c>
      <c r="T114" s="23">
        <v>9.1525129757861254</v>
      </c>
      <c r="U114" s="14">
        <f t="shared" si="48"/>
        <v>26.885539387754644</v>
      </c>
      <c r="V114" s="23">
        <v>6.6416196254817317</v>
      </c>
      <c r="W114" s="14">
        <f t="shared" si="49"/>
        <v>19.509781249344385</v>
      </c>
      <c r="X114" s="23">
        <v>10.023175959187368</v>
      </c>
      <c r="Y114" s="14">
        <f t="shared" si="50"/>
        <v>29.443114995199604</v>
      </c>
      <c r="Z114" s="23">
        <v>0.61758962980851462</v>
      </c>
      <c r="AA114" s="14">
        <f t="shared" si="51"/>
        <v>1.8141717320274506</v>
      </c>
      <c r="AB114" s="24">
        <v>2713.3695247427727</v>
      </c>
      <c r="AC114" s="15">
        <f t="shared" si="52"/>
        <v>7970.5326202762453</v>
      </c>
      <c r="AD114" s="24">
        <v>114.37168054875058</v>
      </c>
      <c r="AE114" s="15">
        <f t="shared" si="53"/>
        <v>335.96721800583003</v>
      </c>
      <c r="AF114" s="24">
        <v>442.69728074473289</v>
      </c>
      <c r="AG114" s="15">
        <f t="shared" si="54"/>
        <v>1300.4248352122215</v>
      </c>
      <c r="AH114" s="24">
        <v>12.423130818226356</v>
      </c>
      <c r="AI114" s="15">
        <f t="shared" si="55"/>
        <v>36.492990921322921</v>
      </c>
    </row>
    <row r="115" spans="1:35" x14ac:dyDescent="0.45">
      <c r="A115" s="11" t="s">
        <v>2</v>
      </c>
      <c r="B115" s="11" t="s">
        <v>3</v>
      </c>
      <c r="C115" s="10" t="s">
        <v>6</v>
      </c>
      <c r="D115" t="s">
        <v>65</v>
      </c>
      <c r="E115" t="s">
        <v>52</v>
      </c>
      <c r="F115" t="s">
        <v>45</v>
      </c>
      <c r="G115" s="12">
        <v>1.4687517766368094</v>
      </c>
      <c r="H115" s="21">
        <v>9.4342438960446987E-2</v>
      </c>
      <c r="I115" s="13">
        <f t="shared" si="42"/>
        <v>2771.3124967081253</v>
      </c>
      <c r="J115" s="14">
        <v>83.977002668859342</v>
      </c>
      <c r="K115" s="14">
        <f t="shared" si="43"/>
        <v>246.68274373304249</v>
      </c>
      <c r="L115" s="22">
        <v>27729.186545181528</v>
      </c>
      <c r="M115" s="14">
        <f t="shared" si="44"/>
        <v>81454.58400585776</v>
      </c>
      <c r="N115" s="14">
        <v>95.621287410252307</v>
      </c>
      <c r="O115" s="14">
        <f t="shared" si="45"/>
        <v>280.88787153621411</v>
      </c>
      <c r="P115" s="23">
        <v>3.3974075660218066</v>
      </c>
      <c r="Q115" s="13">
        <f t="shared" si="46"/>
        <v>99.798967971077332</v>
      </c>
      <c r="R115" s="23">
        <v>0.88005135746347996</v>
      </c>
      <c r="S115" s="13">
        <f t="shared" si="47"/>
        <v>25.851539896122439</v>
      </c>
      <c r="T115" s="23">
        <v>11.327167663293212</v>
      </c>
      <c r="U115" s="14">
        <f t="shared" si="48"/>
        <v>33.273595259449841</v>
      </c>
      <c r="V115" s="23">
        <v>5.1092508181539671</v>
      </c>
      <c r="W115" s="14">
        <f t="shared" si="49"/>
        <v>15.008442432893421</v>
      </c>
      <c r="X115" s="23">
        <v>10.57995915116777</v>
      </c>
      <c r="Y115" s="14">
        <f t="shared" si="50"/>
        <v>31.078667600045062</v>
      </c>
      <c r="Z115" s="23">
        <v>1.1332181546957172</v>
      </c>
      <c r="AA115" s="14">
        <f t="shared" si="51"/>
        <v>3.3288323560528426</v>
      </c>
      <c r="AB115" s="24">
        <v>2764.9198507070423</v>
      </c>
      <c r="AC115" s="15">
        <f t="shared" si="52"/>
        <v>8121.9618859687007</v>
      </c>
      <c r="AD115" s="24">
        <v>127.91444149178488</v>
      </c>
      <c r="AE115" s="15">
        <f t="shared" si="53"/>
        <v>375.74912639712852</v>
      </c>
      <c r="AF115" s="24">
        <v>492.96257836449405</v>
      </c>
      <c r="AG115" s="15">
        <f t="shared" si="54"/>
        <v>1448.0793255766262</v>
      </c>
      <c r="AH115" s="24">
        <v>12.299465528056237</v>
      </c>
      <c r="AI115" s="15">
        <f t="shared" si="55"/>
        <v>36.129723692031575</v>
      </c>
    </row>
    <row r="116" spans="1:35" x14ac:dyDescent="0.45">
      <c r="A116" s="11" t="s">
        <v>2</v>
      </c>
      <c r="B116" s="11" t="s">
        <v>3</v>
      </c>
      <c r="C116" s="10" t="s">
        <v>6</v>
      </c>
      <c r="D116" t="s">
        <v>65</v>
      </c>
      <c r="E116" t="s">
        <v>53</v>
      </c>
      <c r="F116" t="s">
        <v>45</v>
      </c>
      <c r="G116" s="12">
        <v>1.4687517766368094</v>
      </c>
      <c r="H116" s="21">
        <v>0.10055270671119912</v>
      </c>
      <c r="I116" s="13">
        <f t="shared" si="42"/>
        <v>2953.7393325542744</v>
      </c>
      <c r="J116" s="14">
        <v>90.189607537975363</v>
      </c>
      <c r="K116" s="14">
        <f t="shared" si="43"/>
        <v>264.93229261115579</v>
      </c>
      <c r="L116" s="22">
        <v>31156.40987675513</v>
      </c>
      <c r="M116" s="14">
        <f t="shared" si="44"/>
        <v>91522.064720217473</v>
      </c>
      <c r="N116" s="14">
        <v>100.31785223475333</v>
      </c>
      <c r="O116" s="14">
        <f t="shared" si="45"/>
        <v>294.68404739636577</v>
      </c>
      <c r="P116" s="23">
        <v>3.6160727351696469</v>
      </c>
      <c r="Q116" s="13">
        <f t="shared" si="46"/>
        <v>106.22226508456691</v>
      </c>
      <c r="R116" s="23">
        <v>0.97592872113953544</v>
      </c>
      <c r="S116" s="13">
        <f t="shared" si="47"/>
        <v>28.66794086089164</v>
      </c>
      <c r="T116" s="23">
        <v>15.455404763852149</v>
      </c>
      <c r="U116" s="14">
        <f t="shared" si="48"/>
        <v>45.400306411097702</v>
      </c>
      <c r="V116" s="23">
        <v>7.8618886958507659</v>
      </c>
      <c r="W116" s="14">
        <f t="shared" si="49"/>
        <v>23.094325979503321</v>
      </c>
      <c r="X116" s="23">
        <v>8.6540185392614219</v>
      </c>
      <c r="Y116" s="14">
        <f t="shared" si="50"/>
        <v>25.421210209176198</v>
      </c>
      <c r="Z116" s="23">
        <v>1.2377028803291508</v>
      </c>
      <c r="AA116" s="14">
        <f t="shared" si="51"/>
        <v>3.6357566088638729</v>
      </c>
      <c r="AB116" s="24">
        <v>2730.3846883480714</v>
      </c>
      <c r="AC116" s="15">
        <f t="shared" si="52"/>
        <v>8020.5147238263417</v>
      </c>
      <c r="AD116" s="24">
        <v>95.175711194722496</v>
      </c>
      <c r="AE116" s="15">
        <f t="shared" si="53"/>
        <v>279.57898981984107</v>
      </c>
      <c r="AF116" s="24">
        <v>539.83260529493396</v>
      </c>
      <c r="AG116" s="15">
        <f t="shared" si="54"/>
        <v>1585.7601962268234</v>
      </c>
      <c r="AH116" s="24">
        <v>12.891524902565587</v>
      </c>
      <c r="AI116" s="15">
        <f t="shared" si="55"/>
        <v>37.868900208401755</v>
      </c>
    </row>
    <row r="117" spans="1:35" x14ac:dyDescent="0.45">
      <c r="A117" s="11" t="s">
        <v>2</v>
      </c>
      <c r="B117" s="11" t="s">
        <v>3</v>
      </c>
      <c r="C117" s="10" t="s">
        <v>6</v>
      </c>
      <c r="D117" t="s">
        <v>65</v>
      </c>
      <c r="E117" t="s">
        <v>54</v>
      </c>
      <c r="F117" t="s">
        <v>45</v>
      </c>
      <c r="G117" s="12">
        <v>1.4687517766368094</v>
      </c>
      <c r="H117" s="21">
        <v>0.12643405921051157</v>
      </c>
      <c r="I117" s="13">
        <f t="shared" si="42"/>
        <v>3714.0049818568482</v>
      </c>
      <c r="J117" s="14">
        <v>127.98689046628712</v>
      </c>
      <c r="K117" s="14">
        <f t="shared" si="43"/>
        <v>375.9619455171599</v>
      </c>
      <c r="L117" s="22">
        <v>31166.273327286712</v>
      </c>
      <c r="M117" s="14">
        <f t="shared" si="44"/>
        <v>91551.038641201521</v>
      </c>
      <c r="N117" s="14">
        <v>113.33190300831531</v>
      </c>
      <c r="O117" s="14">
        <f t="shared" si="45"/>
        <v>332.91286778618735</v>
      </c>
      <c r="P117" s="23">
        <v>3.4616252774726046</v>
      </c>
      <c r="Q117" s="13">
        <f t="shared" si="46"/>
        <v>101.68536552677553</v>
      </c>
      <c r="R117" s="23">
        <v>1.3158224738930955</v>
      </c>
      <c r="S117" s="13">
        <f t="shared" si="47"/>
        <v>38.652331925382512</v>
      </c>
      <c r="T117" s="23">
        <v>17.693818694278381</v>
      </c>
      <c r="U117" s="14">
        <f t="shared" si="48"/>
        <v>51.975655285421922</v>
      </c>
      <c r="V117" s="23">
        <v>9.0449763968554091</v>
      </c>
      <c r="W117" s="14">
        <f t="shared" si="49"/>
        <v>26.569650305038778</v>
      </c>
      <c r="X117" s="23">
        <v>20.456956639213068</v>
      </c>
      <c r="Y117" s="14">
        <f t="shared" si="50"/>
        <v>60.092382816852734</v>
      </c>
      <c r="Z117" s="23">
        <v>7.1513733204536063</v>
      </c>
      <c r="AA117" s="14">
        <f t="shared" si="51"/>
        <v>21.007184539618628</v>
      </c>
      <c r="AB117" s="24">
        <v>3194.2930192020167</v>
      </c>
      <c r="AC117" s="15">
        <f t="shared" si="52"/>
        <v>9383.2470941030388</v>
      </c>
      <c r="AD117" s="24">
        <v>209.38049923939906</v>
      </c>
      <c r="AE117" s="15">
        <f t="shared" si="53"/>
        <v>615.0559605019389</v>
      </c>
      <c r="AF117" s="24">
        <v>659.8958862284378</v>
      </c>
      <c r="AG117" s="15">
        <f t="shared" si="54"/>
        <v>1938.4465105866798</v>
      </c>
      <c r="AH117" s="24">
        <v>12.900220332285247</v>
      </c>
      <c r="AI117" s="15">
        <f t="shared" si="55"/>
        <v>37.8944430641005</v>
      </c>
    </row>
    <row r="118" spans="1:35" x14ac:dyDescent="0.45">
      <c r="A118" s="11" t="s">
        <v>2</v>
      </c>
      <c r="B118" s="11" t="s">
        <v>3</v>
      </c>
      <c r="C118" s="10" t="s">
        <v>6</v>
      </c>
      <c r="D118" t="s">
        <v>65</v>
      </c>
      <c r="E118" t="s">
        <v>55</v>
      </c>
      <c r="F118" t="s">
        <v>45</v>
      </c>
      <c r="G118" s="12">
        <v>1.4687517766368094</v>
      </c>
      <c r="H118" s="21">
        <v>0.18214017267662425</v>
      </c>
      <c r="I118" s="13">
        <f t="shared" si="42"/>
        <v>5350.3740443145416</v>
      </c>
      <c r="J118" s="14">
        <v>139.52745179526761</v>
      </c>
      <c r="K118" s="14">
        <f t="shared" si="43"/>
        <v>409.86238542781217</v>
      </c>
      <c r="L118" s="22">
        <v>29721.258567348097</v>
      </c>
      <c r="M118" s="14">
        <f t="shared" si="44"/>
        <v>87306.302649349018</v>
      </c>
      <c r="N118" s="14">
        <v>123.28110466842136</v>
      </c>
      <c r="O118" s="14">
        <f t="shared" si="45"/>
        <v>362.13868301498468</v>
      </c>
      <c r="P118" s="23">
        <v>4.7113565680473384</v>
      </c>
      <c r="Q118" s="13">
        <f t="shared" si="46"/>
        <v>138.39626659378058</v>
      </c>
      <c r="R118" s="23">
        <v>1.9133456804733731</v>
      </c>
      <c r="S118" s="13">
        <f t="shared" si="47"/>
        <v>56.204597350312632</v>
      </c>
      <c r="T118" s="23">
        <v>42.389422145012091</v>
      </c>
      <c r="U118" s="14">
        <f t="shared" si="48"/>
        <v>124.51907817218843</v>
      </c>
      <c r="V118" s="23">
        <v>8.1351822296612379</v>
      </c>
      <c r="W118" s="14">
        <f t="shared" si="49"/>
        <v>23.897126706158289</v>
      </c>
      <c r="X118" s="23">
        <v>20.501888717320071</v>
      </c>
      <c r="Y118" s="14">
        <f t="shared" si="50"/>
        <v>60.224370955948018</v>
      </c>
      <c r="Z118" s="23">
        <v>10.573687734270022</v>
      </c>
      <c r="AA118" s="14">
        <f t="shared" si="51"/>
        <v>31.060245290623868</v>
      </c>
      <c r="AB118" s="24">
        <v>3614.229278561676</v>
      </c>
      <c r="AC118" s="15">
        <f t="shared" si="52"/>
        <v>10616.811348120471</v>
      </c>
      <c r="AD118" s="24">
        <v>181.99731451979974</v>
      </c>
      <c r="AE118" s="15">
        <f t="shared" si="53"/>
        <v>534.6177580881681</v>
      </c>
      <c r="AF118" s="24">
        <v>496.53615157032328</v>
      </c>
      <c r="AG118" s="15">
        <f t="shared" si="54"/>
        <v>1458.5767095666326</v>
      </c>
      <c r="AH118" s="24">
        <v>14.638914428766503</v>
      </c>
      <c r="AI118" s="15">
        <f t="shared" si="55"/>
        <v>43.001863150570053</v>
      </c>
    </row>
    <row r="119" spans="1:35" x14ac:dyDescent="0.45">
      <c r="A119" s="11" t="s">
        <v>2</v>
      </c>
      <c r="B119" s="11" t="s">
        <v>3</v>
      </c>
      <c r="C119" s="10" t="s">
        <v>6</v>
      </c>
      <c r="D119" t="s">
        <v>65</v>
      </c>
      <c r="E119" t="s">
        <v>56</v>
      </c>
      <c r="F119" t="s">
        <v>45</v>
      </c>
      <c r="G119" s="12">
        <v>1.4687517766368094</v>
      </c>
      <c r="H119" s="21">
        <v>0.11083699649470755</v>
      </c>
      <c r="I119" s="13">
        <f t="shared" si="42"/>
        <v>3255.8407103737904</v>
      </c>
      <c r="J119" s="14">
        <v>64.254268292682937</v>
      </c>
      <c r="K119" s="14">
        <f t="shared" si="43"/>
        <v>188.74714142275252</v>
      </c>
      <c r="L119" s="22">
        <v>33807.317073170736</v>
      </c>
      <c r="M119" s="14">
        <f t="shared" si="44"/>
        <v>99309.114029086908</v>
      </c>
      <c r="N119" s="14">
        <v>113.03048780487808</v>
      </c>
      <c r="O119" s="14">
        <f t="shared" si="45"/>
        <v>332.02745955507976</v>
      </c>
      <c r="P119" s="23">
        <v>3.6139207317073172</v>
      </c>
      <c r="Q119" s="13">
        <f t="shared" si="46"/>
        <v>106.15904990639442</v>
      </c>
      <c r="R119" s="23">
        <v>1.0738507317073174</v>
      </c>
      <c r="S119" s="13">
        <f t="shared" si="47"/>
        <v>31.544403400757201</v>
      </c>
      <c r="T119" s="23">
        <v>23.220331865314389</v>
      </c>
      <c r="U119" s="14">
        <f t="shared" si="48"/>
        <v>68.209807362553661</v>
      </c>
      <c r="V119" s="23">
        <v>21.339536523163481</v>
      </c>
      <c r="W119" s="14">
        <f t="shared" si="49"/>
        <v>62.684964362004891</v>
      </c>
      <c r="X119" s="23">
        <v>12.961720310458984</v>
      </c>
      <c r="Y119" s="14">
        <f t="shared" si="50"/>
        <v>38.075099468512093</v>
      </c>
      <c r="Z119" s="23">
        <v>3.725641202855781</v>
      </c>
      <c r="AA119" s="14">
        <f t="shared" si="51"/>
        <v>10.944084271611455</v>
      </c>
      <c r="AB119" s="24">
        <v>3013.3566450970634</v>
      </c>
      <c r="AC119" s="15">
        <f t="shared" si="52"/>
        <v>8851.7458522532943</v>
      </c>
      <c r="AD119" s="24">
        <v>166.47215032354407</v>
      </c>
      <c r="AE119" s="15">
        <f t="shared" si="53"/>
        <v>489.01253309651071</v>
      </c>
      <c r="AF119" s="24">
        <v>595.29598058735701</v>
      </c>
      <c r="AG119" s="15">
        <f t="shared" si="54"/>
        <v>1748.6840582248642</v>
      </c>
      <c r="AH119" s="24">
        <v>20.229527127924342</v>
      </c>
      <c r="AI119" s="15">
        <f t="shared" si="55"/>
        <v>59.42430781932282</v>
      </c>
    </row>
    <row r="120" spans="1:35" x14ac:dyDescent="0.45">
      <c r="A120" s="11" t="s">
        <v>2</v>
      </c>
      <c r="B120" s="11" t="s">
        <v>3</v>
      </c>
      <c r="C120" s="10" t="s">
        <v>6</v>
      </c>
      <c r="D120" t="s">
        <v>65</v>
      </c>
      <c r="E120" t="s">
        <v>57</v>
      </c>
      <c r="F120" t="s">
        <v>45</v>
      </c>
      <c r="G120" s="12">
        <v>1.4687517766368094</v>
      </c>
      <c r="H120" s="21">
        <v>0.15713449991029488</v>
      </c>
      <c r="I120" s="13">
        <f t="shared" si="42"/>
        <v>4615.8315182836432</v>
      </c>
      <c r="J120" s="14">
        <v>87.323895486070398</v>
      </c>
      <c r="K120" s="14">
        <f t="shared" si="43"/>
        <v>256.5142532760259</v>
      </c>
      <c r="L120" s="22">
        <v>30714.573628758524</v>
      </c>
      <c r="M120" s="14">
        <f t="shared" si="44"/>
        <v>90224.169171762347</v>
      </c>
      <c r="N120" s="14">
        <v>118.1329754952251</v>
      </c>
      <c r="O120" s="14">
        <f t="shared" si="45"/>
        <v>347.01603527600901</v>
      </c>
      <c r="P120" s="23">
        <v>4.0188989473684202</v>
      </c>
      <c r="Q120" s="13">
        <f t="shared" si="46"/>
        <v>118.05529938142341</v>
      </c>
      <c r="R120" s="23">
        <v>1.4389919504643962</v>
      </c>
      <c r="S120" s="13">
        <f t="shared" si="47"/>
        <v>42.270439676212987</v>
      </c>
      <c r="T120" s="23">
        <v>20.887415907732489</v>
      </c>
      <c r="U120" s="14">
        <f t="shared" si="48"/>
        <v>61.356858447668088</v>
      </c>
      <c r="V120" s="23">
        <v>10.502493638784378</v>
      </c>
      <c r="W120" s="14">
        <f t="shared" si="49"/>
        <v>30.851112382162686</v>
      </c>
      <c r="X120" s="23">
        <v>19.722239962908066</v>
      </c>
      <c r="Y120" s="14">
        <f t="shared" si="50"/>
        <v>57.934149969557403</v>
      </c>
      <c r="Z120" s="23">
        <v>12.075863391922876</v>
      </c>
      <c r="AA120" s="14">
        <f t="shared" si="51"/>
        <v>35.47289162262026</v>
      </c>
      <c r="AB120" s="24">
        <v>3383.8480179687972</v>
      </c>
      <c r="AC120" s="15">
        <f t="shared" si="52"/>
        <v>9940.0655765212341</v>
      </c>
      <c r="AD120" s="24">
        <v>199.52409397195413</v>
      </c>
      <c r="AE120" s="15">
        <f t="shared" si="53"/>
        <v>586.10273500631467</v>
      </c>
      <c r="AF120" s="24">
        <v>599.57997936016523</v>
      </c>
      <c r="AG120" s="15">
        <f t="shared" si="54"/>
        <v>1761.2683198422085</v>
      </c>
      <c r="AH120" s="24">
        <v>18.743172464032053</v>
      </c>
      <c r="AI120" s="15">
        <f t="shared" si="55"/>
        <v>55.058135712714403</v>
      </c>
    </row>
    <row r="121" spans="1:35" x14ac:dyDescent="0.45">
      <c r="A121" s="11" t="s">
        <v>2</v>
      </c>
      <c r="B121" s="11" t="s">
        <v>3</v>
      </c>
      <c r="C121" s="10" t="s">
        <v>6</v>
      </c>
      <c r="D121" t="s">
        <v>65</v>
      </c>
      <c r="E121" t="s">
        <v>51</v>
      </c>
      <c r="F121" t="s">
        <v>46</v>
      </c>
      <c r="G121" s="12">
        <v>1.4687517766368094</v>
      </c>
      <c r="H121" s="21">
        <v>8.6777169499896181E-2</v>
      </c>
      <c r="I121" s="13">
        <f t="shared" si="42"/>
        <v>2549.0824374897211</v>
      </c>
      <c r="J121" s="14">
        <v>58.221189262611794</v>
      </c>
      <c r="K121" s="14">
        <f t="shared" si="43"/>
        <v>171.02495033473801</v>
      </c>
      <c r="L121" s="22">
        <v>27953.882261850038</v>
      </c>
      <c r="M121" s="14">
        <f t="shared" si="44"/>
        <v>82114.628471976874</v>
      </c>
      <c r="N121" s="14">
        <v>91.765847976831822</v>
      </c>
      <c r="O121" s="14">
        <f t="shared" si="45"/>
        <v>269.5625045011102</v>
      </c>
      <c r="P121" s="23">
        <v>4.0544310832587289</v>
      </c>
      <c r="Q121" s="13">
        <f t="shared" si="46"/>
        <v>119.09905713575523</v>
      </c>
      <c r="R121" s="23">
        <v>0.85846372426141448</v>
      </c>
      <c r="S121" s="13">
        <f t="shared" si="47"/>
        <v>25.217402403744089</v>
      </c>
      <c r="T121" s="23">
        <v>7.9090722944139769</v>
      </c>
      <c r="U121" s="14">
        <f t="shared" si="48"/>
        <v>23.232927967938988</v>
      </c>
      <c r="V121" s="23">
        <v>4.6124583237681787</v>
      </c>
      <c r="W121" s="14">
        <f t="shared" si="49"/>
        <v>13.549112715395504</v>
      </c>
      <c r="X121" s="23">
        <v>6.1064937373365664</v>
      </c>
      <c r="Y121" s="14">
        <f t="shared" si="50"/>
        <v>17.937847051469262</v>
      </c>
      <c r="Z121" s="23">
        <v>3.0081249937618557E-2</v>
      </c>
      <c r="AA121" s="14">
        <f t="shared" si="51"/>
        <v>8.8363778578666327E-2</v>
      </c>
      <c r="AB121" s="24">
        <v>2884.3132176821337</v>
      </c>
      <c r="AC121" s="15">
        <f t="shared" si="52"/>
        <v>8472.6803256953317</v>
      </c>
      <c r="AD121" s="24">
        <v>81.865317646661367</v>
      </c>
      <c r="AE121" s="15">
        <f t="shared" si="53"/>
        <v>240.47966147694126</v>
      </c>
      <c r="AF121" s="24">
        <v>478.1168730257935</v>
      </c>
      <c r="AG121" s="15">
        <f t="shared" si="54"/>
        <v>1404.47001339334</v>
      </c>
      <c r="AH121" s="24">
        <v>16.392578503741493</v>
      </c>
      <c r="AI121" s="15">
        <f t="shared" si="55"/>
        <v>48.153257602057373</v>
      </c>
    </row>
    <row r="122" spans="1:35" x14ac:dyDescent="0.45">
      <c r="A122" s="11" t="s">
        <v>2</v>
      </c>
      <c r="B122" s="11" t="s">
        <v>3</v>
      </c>
      <c r="C122" s="10" t="s">
        <v>6</v>
      </c>
      <c r="D122" t="s">
        <v>65</v>
      </c>
      <c r="E122" t="s">
        <v>52</v>
      </c>
      <c r="F122" t="s">
        <v>46</v>
      </c>
      <c r="G122" s="12">
        <v>1.4687517766368094</v>
      </c>
      <c r="H122" s="21">
        <v>0.15366030513254042</v>
      </c>
      <c r="I122" s="13">
        <f t="shared" si="42"/>
        <v>4513.7769232394594</v>
      </c>
      <c r="J122" s="14">
        <v>136.47728818200034</v>
      </c>
      <c r="K122" s="14">
        <f t="shared" si="43"/>
        <v>400.90251897577366</v>
      </c>
      <c r="L122" s="22">
        <v>27393.642735811572</v>
      </c>
      <c r="M122" s="14">
        <f t="shared" si="44"/>
        <v>80468.922873554548</v>
      </c>
      <c r="N122" s="14">
        <v>106.0399073644319</v>
      </c>
      <c r="O122" s="14">
        <f t="shared" si="45"/>
        <v>311.49260467182404</v>
      </c>
      <c r="P122" s="23">
        <v>4.3350488721971523</v>
      </c>
      <c r="Q122" s="13">
        <f t="shared" si="46"/>
        <v>127.34221465693929</v>
      </c>
      <c r="R122" s="23">
        <v>1.8781827666427946</v>
      </c>
      <c r="S122" s="13">
        <f t="shared" si="47"/>
        <v>55.171685507104847</v>
      </c>
      <c r="T122" s="23">
        <v>19.408540367982923</v>
      </c>
      <c r="U122" s="14">
        <f t="shared" si="48"/>
        <v>57.012656294804302</v>
      </c>
      <c r="V122" s="23">
        <v>5.8910495553837752</v>
      </c>
      <c r="W122" s="14">
        <f t="shared" si="49"/>
        <v>17.30497900145081</v>
      </c>
      <c r="X122" s="23">
        <v>15.476156587740878</v>
      </c>
      <c r="Y122" s="14">
        <f t="shared" si="50"/>
        <v>45.461264967507752</v>
      </c>
      <c r="Z122" s="23">
        <v>4.8606019433859542</v>
      </c>
      <c r="AA122" s="14">
        <f t="shared" si="51"/>
        <v>14.278035479744897</v>
      </c>
      <c r="AB122" s="24">
        <v>3837.3890102249611</v>
      </c>
      <c r="AC122" s="15">
        <f t="shared" si="52"/>
        <v>11272.343852828959</v>
      </c>
      <c r="AD122" s="24">
        <v>139.59466508831579</v>
      </c>
      <c r="AE122" s="15">
        <f t="shared" si="53"/>
        <v>410.05982471496839</v>
      </c>
      <c r="AF122" s="24">
        <v>516.4026421798535</v>
      </c>
      <c r="AG122" s="15">
        <f t="shared" si="54"/>
        <v>1516.9345963232047</v>
      </c>
      <c r="AH122" s="24">
        <v>13.666610568086861</v>
      </c>
      <c r="AI122" s="15">
        <f t="shared" si="55"/>
        <v>40.145717104961946</v>
      </c>
    </row>
    <row r="123" spans="1:35" x14ac:dyDescent="0.45">
      <c r="A123" s="11" t="s">
        <v>2</v>
      </c>
      <c r="B123" s="11" t="s">
        <v>3</v>
      </c>
      <c r="C123" s="10" t="s">
        <v>6</v>
      </c>
      <c r="D123" t="s">
        <v>65</v>
      </c>
      <c r="E123" t="s">
        <v>53</v>
      </c>
      <c r="F123" t="s">
        <v>46</v>
      </c>
      <c r="G123" s="12">
        <v>1.4687517766368094</v>
      </c>
      <c r="H123" s="21">
        <v>0.10091778718669524</v>
      </c>
      <c r="I123" s="13">
        <f t="shared" si="42"/>
        <v>2964.4635844942813</v>
      </c>
      <c r="J123" s="14">
        <v>90.925059406871341</v>
      </c>
      <c r="K123" s="14">
        <f t="shared" si="43"/>
        <v>267.09268508929944</v>
      </c>
      <c r="L123" s="22">
        <v>27556.062861819868</v>
      </c>
      <c r="M123" s="14">
        <f t="shared" si="44"/>
        <v>80946.032570827054</v>
      </c>
      <c r="N123" s="14">
        <v>95.799597602644525</v>
      </c>
      <c r="O123" s="14">
        <f t="shared" si="45"/>
        <v>281.41165835995116</v>
      </c>
      <c r="P123" s="23">
        <v>3.3780549696708198</v>
      </c>
      <c r="Q123" s="13">
        <f t="shared" si="46"/>
        <v>99.230484765616396</v>
      </c>
      <c r="R123" s="23">
        <v>0.90081465857888543</v>
      </c>
      <c r="S123" s="13">
        <f t="shared" si="47"/>
        <v>26.461462604164375</v>
      </c>
      <c r="T123" s="23">
        <v>13.164950364542047</v>
      </c>
      <c r="U123" s="14">
        <f t="shared" si="48"/>
        <v>38.672088474513082</v>
      </c>
      <c r="V123" s="23">
        <v>5.5583425930812096</v>
      </c>
      <c r="W123" s="14">
        <f t="shared" si="49"/>
        <v>16.327651117488152</v>
      </c>
      <c r="X123" s="23">
        <v>14.869323016700003</v>
      </c>
      <c r="Y123" s="14">
        <f t="shared" si="50"/>
        <v>43.678689196329458</v>
      </c>
      <c r="Z123" s="23">
        <v>2.7236887479708285</v>
      </c>
      <c r="AA123" s="14">
        <f t="shared" si="51"/>
        <v>8.0008453751756825</v>
      </c>
      <c r="AB123" s="24">
        <v>2739.7772035654602</v>
      </c>
      <c r="AC123" s="15">
        <f t="shared" si="52"/>
        <v>8048.1052706515984</v>
      </c>
      <c r="AD123" s="24">
        <v>166.59451127907195</v>
      </c>
      <c r="AE123" s="15">
        <f t="shared" si="53"/>
        <v>489.37196883815579</v>
      </c>
      <c r="AF123" s="24">
        <v>518.85158030891682</v>
      </c>
      <c r="AG123" s="15">
        <f t="shared" si="54"/>
        <v>1524.1283607790754</v>
      </c>
      <c r="AH123" s="24">
        <v>15.756227873984512</v>
      </c>
      <c r="AI123" s="15">
        <f t="shared" si="55"/>
        <v>46.283975366018339</v>
      </c>
    </row>
    <row r="124" spans="1:35" x14ac:dyDescent="0.45">
      <c r="A124" s="11" t="s">
        <v>2</v>
      </c>
      <c r="B124" s="11" t="s">
        <v>3</v>
      </c>
      <c r="C124" s="10" t="s">
        <v>6</v>
      </c>
      <c r="D124" t="s">
        <v>65</v>
      </c>
      <c r="E124" t="s">
        <v>54</v>
      </c>
      <c r="F124" t="s">
        <v>46</v>
      </c>
      <c r="G124" s="12">
        <v>1.4687517766368094</v>
      </c>
      <c r="H124" s="21">
        <v>9.4597830931732116E-2</v>
      </c>
      <c r="I124" s="13">
        <f t="shared" si="42"/>
        <v>2778.8146449394017</v>
      </c>
      <c r="J124" s="14">
        <v>100.0752690900172</v>
      </c>
      <c r="K124" s="14">
        <f t="shared" si="43"/>
        <v>293.97145854673903</v>
      </c>
      <c r="L124" s="22">
        <v>29433.902673534471</v>
      </c>
      <c r="M124" s="14">
        <f t="shared" si="44"/>
        <v>86462.193690217377</v>
      </c>
      <c r="N124" s="14">
        <v>95.856409706810595</v>
      </c>
      <c r="O124" s="14">
        <f t="shared" si="45"/>
        <v>281.57854411780795</v>
      </c>
      <c r="P124" s="23">
        <v>3.0509221251207594</v>
      </c>
      <c r="Q124" s="13">
        <f t="shared" si="46"/>
        <v>89.620945833033318</v>
      </c>
      <c r="R124" s="23">
        <v>0.93874526926792623</v>
      </c>
      <c r="S124" s="13">
        <f t="shared" si="47"/>
        <v>27.575675640933333</v>
      </c>
      <c r="T124" s="23">
        <v>12.160087969021754</v>
      </c>
      <c r="U124" s="14">
        <f t="shared" si="48"/>
        <v>35.72030161712118</v>
      </c>
      <c r="V124" s="23">
        <v>342.90761684413985</v>
      </c>
      <c r="W124" s="14">
        <f t="shared" si="49"/>
        <v>1007.2923429242494</v>
      </c>
      <c r="X124" s="23">
        <v>36.630592789731118</v>
      </c>
      <c r="Y124" s="14">
        <f t="shared" si="50"/>
        <v>107.60249647835415</v>
      </c>
      <c r="Z124" s="23">
        <v>0.25149073475917849</v>
      </c>
      <c r="AA124" s="14">
        <f t="shared" si="51"/>
        <v>0.73875492697048006</v>
      </c>
      <c r="AB124" s="24">
        <v>2591.7532434136219</v>
      </c>
      <c r="AC124" s="15">
        <f t="shared" si="52"/>
        <v>7613.2843617359404</v>
      </c>
      <c r="AD124" s="24">
        <v>326.52009365840911</v>
      </c>
      <c r="AE124" s="15">
        <f t="shared" si="53"/>
        <v>959.15393533681151</v>
      </c>
      <c r="AF124" s="24">
        <v>610.18442502415201</v>
      </c>
      <c r="AG124" s="15">
        <f t="shared" si="54"/>
        <v>1792.4189166606664</v>
      </c>
      <c r="AH124" s="28">
        <v>545.90078158515269</v>
      </c>
      <c r="AI124" s="15">
        <f t="shared" si="55"/>
        <v>1603.5854856412316</v>
      </c>
    </row>
    <row r="125" spans="1:35" x14ac:dyDescent="0.45">
      <c r="A125" s="11" t="s">
        <v>2</v>
      </c>
      <c r="B125" s="11" t="s">
        <v>3</v>
      </c>
      <c r="C125" s="10" t="s">
        <v>6</v>
      </c>
      <c r="D125" t="s">
        <v>65</v>
      </c>
      <c r="E125" t="s">
        <v>55</v>
      </c>
      <c r="F125" t="s">
        <v>46</v>
      </c>
      <c r="G125" s="12">
        <v>1.4687517766368094</v>
      </c>
      <c r="H125" s="21">
        <v>0.15909940949434881</v>
      </c>
      <c r="I125" s="13">
        <f t="shared" si="42"/>
        <v>4673.5508071338409</v>
      </c>
      <c r="J125" s="14">
        <v>187.0697319637388</v>
      </c>
      <c r="K125" s="14">
        <f t="shared" si="43"/>
        <v>549.51800235342625</v>
      </c>
      <c r="L125" s="22">
        <v>31724.712276324783</v>
      </c>
      <c r="M125" s="14">
        <f t="shared" si="44"/>
        <v>93191.45503828724</v>
      </c>
      <c r="N125" s="14">
        <v>130.177390799509</v>
      </c>
      <c r="O125" s="14">
        <f t="shared" si="45"/>
        <v>382.39654802944619</v>
      </c>
      <c r="P125" s="23">
        <v>4.2390155547298249</v>
      </c>
      <c r="Q125" s="13">
        <f t="shared" si="46"/>
        <v>124.52123254401002</v>
      </c>
      <c r="R125" s="23">
        <v>1.6192833140938747</v>
      </c>
      <c r="S125" s="13">
        <f t="shared" si="47"/>
        <v>47.566504889074388</v>
      </c>
      <c r="T125" s="23">
        <v>18.307390020178897</v>
      </c>
      <c r="U125" s="14">
        <f t="shared" si="48"/>
        <v>53.778023235441488</v>
      </c>
      <c r="V125" s="23">
        <v>250.01379289207958</v>
      </c>
      <c r="W125" s="14">
        <f t="shared" si="49"/>
        <v>734.41640498789832</v>
      </c>
      <c r="X125" s="23">
        <v>36.406873489788708</v>
      </c>
      <c r="Y125" s="14">
        <f t="shared" si="50"/>
        <v>106.94532023983744</v>
      </c>
      <c r="Z125" s="23">
        <v>5.5661697860945365</v>
      </c>
      <c r="AA125" s="14">
        <f t="shared" si="51"/>
        <v>16.350643524776959</v>
      </c>
      <c r="AB125" s="24">
        <v>3741.3190097085903</v>
      </c>
      <c r="AC125" s="15">
        <f t="shared" si="52"/>
        <v>10990.137884949119</v>
      </c>
      <c r="AD125" s="24">
        <v>282.11567667802609</v>
      </c>
      <c r="AE125" s="15">
        <f t="shared" si="53"/>
        <v>828.71580267589297</v>
      </c>
      <c r="AF125" s="24">
        <v>520.75115945943878</v>
      </c>
      <c r="AG125" s="15">
        <f t="shared" si="54"/>
        <v>1529.7083812834583</v>
      </c>
      <c r="AH125" s="24">
        <v>87.668204903171556</v>
      </c>
      <c r="AI125" s="15">
        <f t="shared" si="55"/>
        <v>257.52566341218613</v>
      </c>
    </row>
    <row r="126" spans="1:35" x14ac:dyDescent="0.45">
      <c r="A126" s="11" t="s">
        <v>2</v>
      </c>
      <c r="B126" s="11" t="s">
        <v>3</v>
      </c>
      <c r="C126" s="10" t="s">
        <v>6</v>
      </c>
      <c r="D126" t="s">
        <v>65</v>
      </c>
      <c r="E126" t="s">
        <v>56</v>
      </c>
      <c r="F126" t="s">
        <v>46</v>
      </c>
      <c r="G126" s="12">
        <v>1.4687517766368094</v>
      </c>
      <c r="H126" s="21">
        <v>0.14075828953423597</v>
      </c>
      <c r="I126" s="13">
        <f t="shared" si="42"/>
        <v>4134.7797565953497</v>
      </c>
      <c r="J126" s="14">
        <v>175.17896798253426</v>
      </c>
      <c r="K126" s="14">
        <f t="shared" si="43"/>
        <v>514.58884090749984</v>
      </c>
      <c r="L126" s="22">
        <v>31175.918030789995</v>
      </c>
      <c r="M126" s="14">
        <f t="shared" si="44"/>
        <v>91579.369992012696</v>
      </c>
      <c r="N126" s="14">
        <v>122.7242487561257</v>
      </c>
      <c r="O126" s="14">
        <f t="shared" si="45"/>
        <v>360.50291679395474</v>
      </c>
      <c r="P126" s="23">
        <v>3.4521341463414639</v>
      </c>
      <c r="Q126" s="13">
        <f t="shared" si="46"/>
        <v>101.40656321255241</v>
      </c>
      <c r="R126" s="23">
        <v>1.391158536585366</v>
      </c>
      <c r="S126" s="13">
        <f t="shared" si="47"/>
        <v>40.865331443864399</v>
      </c>
      <c r="T126" s="23">
        <v>15.515993059582764</v>
      </c>
      <c r="U126" s="14">
        <f t="shared" si="48"/>
        <v>45.578284745093171</v>
      </c>
      <c r="V126" s="23">
        <v>6.5369431571211365</v>
      </c>
      <c r="W126" s="14">
        <f t="shared" si="49"/>
        <v>19.202293751591004</v>
      </c>
      <c r="X126" s="23">
        <v>31.928881733063548</v>
      </c>
      <c r="Y126" s="14">
        <f t="shared" si="50"/>
        <v>93.791203542927306</v>
      </c>
      <c r="Z126" s="23">
        <v>11.664357945988026</v>
      </c>
      <c r="AA126" s="14">
        <f t="shared" si="51"/>
        <v>34.264092912995196</v>
      </c>
      <c r="AB126" s="24">
        <v>2936.7282175180244</v>
      </c>
      <c r="AC126" s="15">
        <f t="shared" si="52"/>
        <v>8626.6495739580969</v>
      </c>
      <c r="AD126" s="24">
        <v>261.26754486884494</v>
      </c>
      <c r="AE126" s="15">
        <f t="shared" si="53"/>
        <v>767.4743414073065</v>
      </c>
      <c r="AF126" s="24">
        <v>440.50923262770362</v>
      </c>
      <c r="AG126" s="15">
        <f t="shared" si="54"/>
        <v>1293.9974360937144</v>
      </c>
      <c r="AH126" s="24">
        <v>13.772242675256944</v>
      </c>
      <c r="AI126" s="15">
        <f t="shared" si="55"/>
        <v>40.456011795113838</v>
      </c>
    </row>
    <row r="127" spans="1:35" x14ac:dyDescent="0.45">
      <c r="A127" s="11" t="s">
        <v>2</v>
      </c>
      <c r="B127" s="11" t="s">
        <v>3</v>
      </c>
      <c r="C127" s="10" t="s">
        <v>6</v>
      </c>
      <c r="D127" t="s">
        <v>65</v>
      </c>
      <c r="E127" t="s">
        <v>57</v>
      </c>
      <c r="F127" t="s">
        <v>46</v>
      </c>
      <c r="G127" s="12">
        <v>1.4687517766368094</v>
      </c>
      <c r="H127" s="21">
        <v>0.11778948437301257</v>
      </c>
      <c r="I127" s="13">
        <f t="shared" si="42"/>
        <v>3460.0702888399178</v>
      </c>
      <c r="J127" s="14">
        <v>137.54704269228003</v>
      </c>
      <c r="K127" s="14">
        <f t="shared" si="43"/>
        <v>404.0449266508507</v>
      </c>
      <c r="L127" s="22">
        <v>32094.30996153201</v>
      </c>
      <c r="M127" s="14">
        <f t="shared" si="44"/>
        <v>94277.149551865179</v>
      </c>
      <c r="N127" s="14">
        <v>115.66455862759912</v>
      </c>
      <c r="O127" s="14">
        <f t="shared" si="45"/>
        <v>339.7650519563972</v>
      </c>
      <c r="P127" s="23">
        <v>3.5369680176333449</v>
      </c>
      <c r="Q127" s="13">
        <f t="shared" si="46"/>
        <v>103.89856119613097</v>
      </c>
      <c r="R127" s="23">
        <v>1.2889825137147757</v>
      </c>
      <c r="S127" s="13">
        <f t="shared" si="47"/>
        <v>37.863907141447143</v>
      </c>
      <c r="T127" s="23">
        <v>12.790540959464547</v>
      </c>
      <c r="U127" s="14">
        <f t="shared" si="48"/>
        <v>37.572259516718866</v>
      </c>
      <c r="V127" s="23">
        <v>8.4671059100506998</v>
      </c>
      <c r="W127" s="14">
        <f t="shared" si="49"/>
        <v>24.872153696717987</v>
      </c>
      <c r="X127" s="23">
        <v>9.796573541806989</v>
      </c>
      <c r="Y127" s="14">
        <f t="shared" si="50"/>
        <v>28.777469588964351</v>
      </c>
      <c r="Z127" s="23">
        <v>3.4132431396863629</v>
      </c>
      <c r="AA127" s="14">
        <f t="shared" si="51"/>
        <v>10.026413851015493</v>
      </c>
      <c r="AB127" s="24">
        <v>3547.2798777430626</v>
      </c>
      <c r="AC127" s="15">
        <f t="shared" si="52"/>
        <v>10420.147245326254</v>
      </c>
      <c r="AD127" s="24">
        <v>145.39722754702672</v>
      </c>
      <c r="AE127" s="15">
        <f t="shared" si="53"/>
        <v>427.10487255552385</v>
      </c>
      <c r="AF127" s="24">
        <v>611.49330450628963</v>
      </c>
      <c r="AG127" s="15">
        <f t="shared" si="54"/>
        <v>1796.2637547902527</v>
      </c>
      <c r="AH127" s="24">
        <v>23.614159651254692</v>
      </c>
      <c r="AI127" s="15">
        <f t="shared" si="55"/>
        <v>69.366677883131175</v>
      </c>
    </row>
    <row r="128" spans="1:35" x14ac:dyDescent="0.45">
      <c r="A128" s="11" t="s">
        <v>2</v>
      </c>
      <c r="B128" s="11" t="s">
        <v>3</v>
      </c>
      <c r="C128" s="10" t="s">
        <v>6</v>
      </c>
      <c r="D128" t="s">
        <v>65</v>
      </c>
      <c r="E128" t="s">
        <v>51</v>
      </c>
      <c r="F128" t="s">
        <v>47</v>
      </c>
      <c r="G128" s="12">
        <v>1.4687517766368094</v>
      </c>
      <c r="H128" s="21">
        <v>8.9221507816360776E-2</v>
      </c>
      <c r="I128" s="13">
        <f t="shared" si="42"/>
        <v>2620.8849623898968</v>
      </c>
      <c r="J128" s="14">
        <v>47.862014052889009</v>
      </c>
      <c r="K128" s="14">
        <f t="shared" si="43"/>
        <v>140.59483634719334</v>
      </c>
      <c r="L128" s="22">
        <v>27109.343897144165</v>
      </c>
      <c r="M128" s="14">
        <f t="shared" si="44"/>
        <v>79633.794024777468</v>
      </c>
      <c r="N128" s="14">
        <v>87.778185929028851</v>
      </c>
      <c r="O128" s="14">
        <f t="shared" si="45"/>
        <v>257.84873306643465</v>
      </c>
      <c r="P128" s="23">
        <v>3.4720151975523099</v>
      </c>
      <c r="Q128" s="13">
        <f t="shared" si="46"/>
        <v>101.99056979829916</v>
      </c>
      <c r="R128" s="23">
        <v>0.79652113355611798</v>
      </c>
      <c r="S128" s="13">
        <f t="shared" si="47"/>
        <v>23.397836600786274</v>
      </c>
      <c r="T128" s="23">
        <v>6.4943741826418249</v>
      </c>
      <c r="U128" s="14">
        <f t="shared" si="48"/>
        <v>19.077247237798815</v>
      </c>
      <c r="V128" s="23">
        <v>125.13951538463665</v>
      </c>
      <c r="W128" s="14">
        <f t="shared" si="49"/>
        <v>367.59777109730879</v>
      </c>
      <c r="X128" s="23">
        <v>12.568072424502191</v>
      </c>
      <c r="Y128" s="14">
        <f t="shared" si="50"/>
        <v>36.918757404775363</v>
      </c>
      <c r="Z128" s="23">
        <v>0.11024624933773849</v>
      </c>
      <c r="AA128" s="14">
        <f t="shared" si="51"/>
        <v>0.32384874916469614</v>
      </c>
      <c r="AB128" s="24">
        <v>2819.3877419696155</v>
      </c>
      <c r="AC128" s="15">
        <f t="shared" si="52"/>
        <v>8281.9615100918309</v>
      </c>
      <c r="AD128" s="24">
        <v>118.82832761676352</v>
      </c>
      <c r="AE128" s="15">
        <f t="shared" si="53"/>
        <v>349.05863460380453</v>
      </c>
      <c r="AF128" s="24">
        <v>456.74638427693475</v>
      </c>
      <c r="AG128" s="15">
        <f t="shared" si="54"/>
        <v>1341.6941267583734</v>
      </c>
      <c r="AH128" s="24">
        <v>17.73141451156393</v>
      </c>
      <c r="AI128" s="15">
        <f t="shared" si="55"/>
        <v>52.08609313228645</v>
      </c>
    </row>
    <row r="129" spans="1:35" x14ac:dyDescent="0.45">
      <c r="A129" s="11" t="s">
        <v>2</v>
      </c>
      <c r="B129" s="11" t="s">
        <v>3</v>
      </c>
      <c r="C129" s="10" t="s">
        <v>6</v>
      </c>
      <c r="D129" t="s">
        <v>65</v>
      </c>
      <c r="E129" t="s">
        <v>52</v>
      </c>
      <c r="F129" t="s">
        <v>47</v>
      </c>
      <c r="G129" s="12">
        <v>1.4687517766368094</v>
      </c>
      <c r="H129" s="21">
        <v>0.11233427453834892</v>
      </c>
      <c r="I129" s="13">
        <f t="shared" si="42"/>
        <v>3299.8233061081414</v>
      </c>
      <c r="J129" s="14">
        <v>84.880634227860369</v>
      </c>
      <c r="K129" s="14">
        <f t="shared" si="43"/>
        <v>249.33716464845818</v>
      </c>
      <c r="L129" s="22">
        <v>28567.574231652765</v>
      </c>
      <c r="M129" s="14">
        <f t="shared" si="44"/>
        <v>83917.350813887868</v>
      </c>
      <c r="N129" s="14">
        <v>97.41748335110367</v>
      </c>
      <c r="O129" s="14">
        <f t="shared" si="45"/>
        <v>286.16420349484065</v>
      </c>
      <c r="P129" s="23">
        <v>3.4802704210356943</v>
      </c>
      <c r="Q129" s="13">
        <f t="shared" si="46"/>
        <v>102.23306728145425</v>
      </c>
      <c r="R129" s="23">
        <v>1.1326323855441611</v>
      </c>
      <c r="S129" s="13">
        <f t="shared" si="47"/>
        <v>33.271116570887486</v>
      </c>
      <c r="T129" s="23">
        <v>29.363789657567807</v>
      </c>
      <c r="U129" s="14">
        <f t="shared" si="48"/>
        <v>86.256236456684576</v>
      </c>
      <c r="V129" s="23">
        <v>223.63451137198794</v>
      </c>
      <c r="W129" s="14">
        <f t="shared" si="49"/>
        <v>656.927171789824</v>
      </c>
      <c r="X129" s="23">
        <v>71.730098862907269</v>
      </c>
      <c r="Y129" s="14">
        <f t="shared" si="50"/>
        <v>210.70742028645805</v>
      </c>
      <c r="Z129" s="23">
        <v>11.523152303518463</v>
      </c>
      <c r="AA129" s="14">
        <f t="shared" si="51"/>
        <v>33.849300836498571</v>
      </c>
      <c r="AB129" s="24">
        <v>2808.1794682913082</v>
      </c>
      <c r="AC129" s="15">
        <f t="shared" si="52"/>
        <v>8249.03716633574</v>
      </c>
      <c r="AD129" s="24">
        <v>193.63590451289738</v>
      </c>
      <c r="AE129" s="15">
        <f t="shared" si="53"/>
        <v>568.80615754798725</v>
      </c>
      <c r="AF129" s="24">
        <v>477.20696846780396</v>
      </c>
      <c r="AG129" s="15">
        <f t="shared" si="54"/>
        <v>1401.7971655211059</v>
      </c>
      <c r="AH129" s="24">
        <v>17.252867321528299</v>
      </c>
      <c r="AI129" s="15">
        <f t="shared" si="55"/>
        <v>50.680359061147684</v>
      </c>
    </row>
    <row r="130" spans="1:35" x14ac:dyDescent="0.45">
      <c r="A130" s="11" t="s">
        <v>2</v>
      </c>
      <c r="B130" s="11" t="s">
        <v>3</v>
      </c>
      <c r="C130" s="10" t="s">
        <v>6</v>
      </c>
      <c r="D130" t="s">
        <v>65</v>
      </c>
      <c r="E130" t="s">
        <v>53</v>
      </c>
      <c r="F130" t="s">
        <v>47</v>
      </c>
      <c r="G130" s="12">
        <v>1.4687517766368094</v>
      </c>
      <c r="H130" s="21">
        <v>8.8736174629832548E-2</v>
      </c>
      <c r="I130" s="13">
        <f t="shared" si="42"/>
        <v>2606.6282827904142</v>
      </c>
      <c r="J130" s="14">
        <v>55.891927924794629</v>
      </c>
      <c r="K130" s="14">
        <f t="shared" si="43"/>
        <v>164.18273687839724</v>
      </c>
      <c r="L130" s="22">
        <v>30647.060850956161</v>
      </c>
      <c r="M130" s="14">
        <f t="shared" si="44"/>
        <v>90025.850147076533</v>
      </c>
      <c r="N130" s="14">
        <v>98.278371406795003</v>
      </c>
      <c r="O130" s="14">
        <f t="shared" si="45"/>
        <v>288.69306521740475</v>
      </c>
      <c r="P130" s="23">
        <v>3.1645656370656376</v>
      </c>
      <c r="Q130" s="13">
        <f t="shared" si="46"/>
        <v>92.95922803447904</v>
      </c>
      <c r="R130" s="23">
        <v>0.8909942084942083</v>
      </c>
      <c r="S130" s="13">
        <f t="shared" si="47"/>
        <v>26.172986533979525</v>
      </c>
      <c r="T130" s="23">
        <v>9.1099619475070739</v>
      </c>
      <c r="U130" s="14">
        <f t="shared" si="48"/>
        <v>26.760545590989487</v>
      </c>
      <c r="V130" s="23">
        <v>7.3626114685975379</v>
      </c>
      <c r="W130" s="14">
        <f t="shared" si="49"/>
        <v>21.627697350378366</v>
      </c>
      <c r="X130" s="23">
        <v>12.161278292981571</v>
      </c>
      <c r="Y130" s="14">
        <f t="shared" si="50"/>
        <v>35.723798197982688</v>
      </c>
      <c r="Z130" s="23">
        <v>2.6637090272568322</v>
      </c>
      <c r="AA130" s="14">
        <f t="shared" si="51"/>
        <v>7.8246547324539595</v>
      </c>
      <c r="AB130" s="24">
        <v>2569.4324736205413</v>
      </c>
      <c r="AC130" s="15">
        <f t="shared" si="52"/>
        <v>7547.7170211569637</v>
      </c>
      <c r="AD130" s="24">
        <v>148.70337544181876</v>
      </c>
      <c r="AE130" s="15">
        <f t="shared" si="53"/>
        <v>436.8166937441236</v>
      </c>
      <c r="AF130" s="24">
        <v>482.52727949488127</v>
      </c>
      <c r="AG130" s="15">
        <f t="shared" si="54"/>
        <v>1417.4255980676662</v>
      </c>
      <c r="AH130" s="24">
        <v>14.162226232554165</v>
      </c>
      <c r="AI130" s="15">
        <f t="shared" si="55"/>
        <v>41.601589880392716</v>
      </c>
    </row>
    <row r="131" spans="1:35" x14ac:dyDescent="0.45">
      <c r="A131" s="11" t="s">
        <v>2</v>
      </c>
      <c r="B131" s="11" t="s">
        <v>3</v>
      </c>
      <c r="C131" s="10" t="s">
        <v>6</v>
      </c>
      <c r="D131" t="s">
        <v>65</v>
      </c>
      <c r="E131" t="s">
        <v>54</v>
      </c>
      <c r="F131" t="s">
        <v>47</v>
      </c>
      <c r="G131" s="12">
        <v>1.4687517766368094</v>
      </c>
      <c r="H131" s="21">
        <v>0.16201005141368774</v>
      </c>
      <c r="I131" s="13">
        <f t="shared" si="42"/>
        <v>4759.0510169374938</v>
      </c>
      <c r="J131" s="14">
        <v>115.27377521613835</v>
      </c>
      <c r="K131" s="14">
        <f t="shared" si="43"/>
        <v>338.6171242966708</v>
      </c>
      <c r="L131" s="22">
        <v>31604.226705091263</v>
      </c>
      <c r="M131" s="14">
        <f t="shared" si="44"/>
        <v>92837.528244670582</v>
      </c>
      <c r="N131" s="14">
        <v>115.27377521613835</v>
      </c>
      <c r="O131" s="14">
        <f t="shared" si="45"/>
        <v>338.6171242966708</v>
      </c>
      <c r="P131" s="23">
        <v>3.3520461095100864</v>
      </c>
      <c r="Q131" s="13">
        <f t="shared" si="46"/>
        <v>98.4664735742289</v>
      </c>
      <c r="R131" s="23">
        <v>1.3346109510086457</v>
      </c>
      <c r="S131" s="13">
        <f t="shared" si="47"/>
        <v>39.204244108257804</v>
      </c>
      <c r="T131" s="23">
        <v>13.306226627125293</v>
      </c>
      <c r="U131" s="14">
        <f t="shared" si="48"/>
        <v>39.087087997844584</v>
      </c>
      <c r="V131" s="23">
        <v>222.47989580640731</v>
      </c>
      <c r="W131" s="14">
        <f t="shared" si="49"/>
        <v>653.5354844632659</v>
      </c>
      <c r="X131" s="23">
        <v>51.015866166207012</v>
      </c>
      <c r="Y131" s="14">
        <f t="shared" si="50"/>
        <v>149.85928813656449</v>
      </c>
      <c r="Z131" s="23">
        <v>3.988011185572407</v>
      </c>
      <c r="AA131" s="14">
        <f t="shared" si="51"/>
        <v>11.714797028113884</v>
      </c>
      <c r="AB131" s="24">
        <v>2710.0631746849481</v>
      </c>
      <c r="AC131" s="15">
        <f t="shared" si="52"/>
        <v>7960.8202052330189</v>
      </c>
      <c r="AD131" s="24">
        <v>341.34383497940183</v>
      </c>
      <c r="AE131" s="15">
        <f t="shared" si="53"/>
        <v>1002.6987281400366</v>
      </c>
      <c r="AF131" s="24">
        <v>641.31265965827004</v>
      </c>
      <c r="AG131" s="15">
        <f t="shared" si="54"/>
        <v>1883.8582165055232</v>
      </c>
      <c r="AH131" s="24">
        <v>16.032816491456753</v>
      </c>
      <c r="AI131" s="15">
        <f t="shared" si="55"/>
        <v>47.096455412638086</v>
      </c>
    </row>
    <row r="132" spans="1:35" x14ac:dyDescent="0.45">
      <c r="A132" s="11" t="s">
        <v>2</v>
      </c>
      <c r="B132" s="11" t="s">
        <v>3</v>
      </c>
      <c r="C132" s="10" t="s">
        <v>6</v>
      </c>
      <c r="D132" t="s">
        <v>65</v>
      </c>
      <c r="E132" t="s">
        <v>55</v>
      </c>
      <c r="F132" t="s">
        <v>47</v>
      </c>
      <c r="G132" s="12">
        <v>1.4687517766368094</v>
      </c>
      <c r="H132" s="21">
        <v>0.11860199935399671</v>
      </c>
      <c r="I132" s="13">
        <f t="shared" si="42"/>
        <v>3483.9379452772077</v>
      </c>
      <c r="J132" s="14">
        <v>99.833607413817944</v>
      </c>
      <c r="K132" s="14">
        <f t="shared" si="43"/>
        <v>293.26157651421369</v>
      </c>
      <c r="L132" s="22">
        <v>31983.729782575007</v>
      </c>
      <c r="M132" s="14">
        <f t="shared" si="44"/>
        <v>93952.31988325734</v>
      </c>
      <c r="N132" s="14">
        <v>112.775000967461</v>
      </c>
      <c r="O132" s="14">
        <f t="shared" si="45"/>
        <v>331.27696606235247</v>
      </c>
      <c r="P132" s="23">
        <v>3.7552688744283769</v>
      </c>
      <c r="Q132" s="13">
        <f t="shared" si="46"/>
        <v>110.3111566213118</v>
      </c>
      <c r="R132" s="23">
        <v>1.0494176032649163</v>
      </c>
      <c r="S132" s="13">
        <f t="shared" si="47"/>
        <v>30.826679384585763</v>
      </c>
      <c r="T132" s="23">
        <v>14.87921200880036</v>
      </c>
      <c r="U132" s="14">
        <f t="shared" si="48"/>
        <v>43.707738145762555</v>
      </c>
      <c r="V132" s="23">
        <v>297.39807147501864</v>
      </c>
      <c r="W132" s="14">
        <f t="shared" si="49"/>
        <v>873.60789169458894</v>
      </c>
      <c r="X132" s="23">
        <v>23.08640732563472</v>
      </c>
      <c r="Y132" s="14">
        <f t="shared" si="50"/>
        <v>67.816403551374094</v>
      </c>
      <c r="Z132" s="23">
        <v>1.7984641636821963</v>
      </c>
      <c r="AA132" s="14">
        <f t="shared" si="51"/>
        <v>5.2829948712517192</v>
      </c>
      <c r="AB132" s="24">
        <v>3620.7281560610795</v>
      </c>
      <c r="AC132" s="15">
        <f t="shared" si="52"/>
        <v>10635.901823867258</v>
      </c>
      <c r="AD132" s="24">
        <v>226.54282725081617</v>
      </c>
      <c r="AE132" s="15">
        <f t="shared" si="53"/>
        <v>665.47036001792412</v>
      </c>
      <c r="AF132" s="24">
        <v>548.05557334913601</v>
      </c>
      <c r="AG132" s="15">
        <f t="shared" si="54"/>
        <v>1609.9151941044975</v>
      </c>
      <c r="AH132" s="24">
        <v>26.809216674659908</v>
      </c>
      <c r="AI132" s="15">
        <f t="shared" si="55"/>
        <v>78.752169242295835</v>
      </c>
    </row>
    <row r="133" spans="1:35" x14ac:dyDescent="0.45">
      <c r="A133" s="11" t="s">
        <v>2</v>
      </c>
      <c r="B133" s="11" t="s">
        <v>3</v>
      </c>
      <c r="C133" s="10" t="s">
        <v>6</v>
      </c>
      <c r="D133" t="s">
        <v>65</v>
      </c>
      <c r="E133" t="s">
        <v>56</v>
      </c>
      <c r="F133" t="s">
        <v>47</v>
      </c>
      <c r="G133" s="12">
        <v>1.4687517766368094</v>
      </c>
      <c r="H133" s="21">
        <v>0.13375131773777152</v>
      </c>
      <c r="I133" s="13">
        <f t="shared" si="42"/>
        <v>3928.9497110973261</v>
      </c>
      <c r="J133" s="14">
        <v>107.5591091534404</v>
      </c>
      <c r="K133" s="14">
        <f t="shared" si="43"/>
        <v>315.95526532517619</v>
      </c>
      <c r="L133" s="22">
        <v>32731.349595831431</v>
      </c>
      <c r="M133" s="14">
        <f t="shared" si="44"/>
        <v>96148.455741195852</v>
      </c>
      <c r="N133" s="14">
        <v>120.54038094782116</v>
      </c>
      <c r="O133" s="14">
        <f t="shared" si="45"/>
        <v>354.08779734718024</v>
      </c>
      <c r="P133" s="23">
        <v>3.6846412754650135</v>
      </c>
      <c r="Q133" s="13">
        <f t="shared" si="46"/>
        <v>108.23646839217116</v>
      </c>
      <c r="R133" s="23">
        <v>1.7085208148804252</v>
      </c>
      <c r="S133" s="13">
        <f t="shared" si="47"/>
        <v>50.18785964553188</v>
      </c>
      <c r="T133" s="23">
        <v>20.840379587146867</v>
      </c>
      <c r="U133" s="14">
        <f t="shared" si="48"/>
        <v>61.218689088814912</v>
      </c>
      <c r="V133" s="23">
        <v>246.30410150707948</v>
      </c>
      <c r="W133" s="14">
        <f t="shared" si="49"/>
        <v>723.51917336291206</v>
      </c>
      <c r="X133" s="23">
        <v>40.096717111781167</v>
      </c>
      <c r="Y133" s="14">
        <f t="shared" si="50"/>
        <v>117.78424899046429</v>
      </c>
      <c r="Z133" s="23">
        <v>2.2694360298679048</v>
      </c>
      <c r="AA133" s="14">
        <f t="shared" si="51"/>
        <v>6.666476401664144</v>
      </c>
      <c r="AB133" s="24">
        <v>3149.6655087056924</v>
      </c>
      <c r="AC133" s="15">
        <f t="shared" si="52"/>
        <v>9252.153623446331</v>
      </c>
      <c r="AD133" s="24">
        <v>298.71021276112054</v>
      </c>
      <c r="AE133" s="15">
        <f t="shared" si="53"/>
        <v>877.46231138491021</v>
      </c>
      <c r="AF133" s="24">
        <v>585.22817194015443</v>
      </c>
      <c r="AG133" s="15">
        <f t="shared" si="54"/>
        <v>1719.1098345500279</v>
      </c>
      <c r="AH133" s="24">
        <v>17.983574033577661</v>
      </c>
      <c r="AI133" s="15">
        <f t="shared" si="55"/>
        <v>52.826812624193565</v>
      </c>
    </row>
    <row r="134" spans="1:35" x14ac:dyDescent="0.45">
      <c r="A134" s="11" t="s">
        <v>2</v>
      </c>
      <c r="B134" s="11" t="s">
        <v>3</v>
      </c>
      <c r="C134" s="10" t="s">
        <v>6</v>
      </c>
      <c r="D134" t="s">
        <v>65</v>
      </c>
      <c r="E134" t="s">
        <v>57</v>
      </c>
      <c r="F134" t="s">
        <v>47</v>
      </c>
      <c r="G134" s="12">
        <v>1.4687517766368094</v>
      </c>
      <c r="H134" s="21">
        <v>0.15717612502840764</v>
      </c>
      <c r="I134" s="13">
        <f t="shared" si="42"/>
        <v>4617.0542576072594</v>
      </c>
      <c r="J134" s="14">
        <v>141.46594552369868</v>
      </c>
      <c r="K134" s="14">
        <f t="shared" si="43"/>
        <v>415.55671764307704</v>
      </c>
      <c r="L134" s="22">
        <v>33536.332540233459</v>
      </c>
      <c r="M134" s="14">
        <f t="shared" si="44"/>
        <v>98513.09600070148</v>
      </c>
      <c r="N134" s="14">
        <v>130.58394971418338</v>
      </c>
      <c r="O134" s="14">
        <f t="shared" si="45"/>
        <v>383.59081628591724</v>
      </c>
      <c r="P134" s="23">
        <v>3.7406682526186446</v>
      </c>
      <c r="Q134" s="13">
        <f t="shared" si="46"/>
        <v>109.88226283685088</v>
      </c>
      <c r="R134" s="23">
        <v>1.5620372923022909</v>
      </c>
      <c r="S134" s="13">
        <f t="shared" si="47"/>
        <v>45.884900964838813</v>
      </c>
      <c r="T134" s="23">
        <v>15.585976285702738</v>
      </c>
      <c r="U134" s="14">
        <f t="shared" si="48"/>
        <v>45.783860720490154</v>
      </c>
      <c r="V134" s="23">
        <v>182.13082680288139</v>
      </c>
      <c r="W134" s="14">
        <f t="shared" si="49"/>
        <v>535.00995089412606</v>
      </c>
      <c r="X134" s="23">
        <v>33.033011343644972</v>
      </c>
      <c r="Y134" s="14">
        <f t="shared" si="50"/>
        <v>97.034588197284862</v>
      </c>
      <c r="Z134" s="23">
        <v>5.1303097465561516</v>
      </c>
      <c r="AA134" s="14">
        <f t="shared" si="51"/>
        <v>15.070303109902975</v>
      </c>
      <c r="AB134" s="24">
        <v>3707.6220560322695</v>
      </c>
      <c r="AC134" s="15">
        <f t="shared" si="52"/>
        <v>10891.152963790431</v>
      </c>
      <c r="AD134" s="24">
        <v>295.19925609169974</v>
      </c>
      <c r="AE134" s="15">
        <f t="shared" si="53"/>
        <v>867.14886369309693</v>
      </c>
      <c r="AF134" s="24">
        <v>603.49609009873086</v>
      </c>
      <c r="AG134" s="15">
        <f t="shared" si="54"/>
        <v>1772.7719090517578</v>
      </c>
      <c r="AH134" s="24">
        <v>23.6763908469452</v>
      </c>
      <c r="AI134" s="15">
        <f t="shared" si="55"/>
        <v>69.549482241596507</v>
      </c>
    </row>
    <row r="135" spans="1:35" x14ac:dyDescent="0.45">
      <c r="A135" s="11" t="s">
        <v>2</v>
      </c>
      <c r="B135" s="11" t="s">
        <v>3</v>
      </c>
      <c r="C135" s="10" t="s">
        <v>6</v>
      </c>
      <c r="D135" t="s">
        <v>65</v>
      </c>
      <c r="E135" t="s">
        <v>51</v>
      </c>
      <c r="F135" t="s">
        <v>48</v>
      </c>
      <c r="G135" s="12">
        <v>1.4687517766368094</v>
      </c>
      <c r="H135" s="21">
        <v>8.8414975308415023E-2</v>
      </c>
      <c r="I135" s="13">
        <f t="shared" si="42"/>
        <v>2597.1930413106838</v>
      </c>
      <c r="J135" s="14">
        <v>62.928581519968674</v>
      </c>
      <c r="K135" s="14">
        <f t="shared" si="43"/>
        <v>184.85293181737654</v>
      </c>
      <c r="L135" s="22">
        <v>27822.122054648527</v>
      </c>
      <c r="M135" s="14">
        <f t="shared" si="44"/>
        <v>81727.582395142366</v>
      </c>
      <c r="N135" s="14">
        <v>92.976473338989081</v>
      </c>
      <c r="O135" s="14">
        <f t="shared" si="45"/>
        <v>273.11872080413031</v>
      </c>
      <c r="P135" s="23">
        <v>4.2313259151109284</v>
      </c>
      <c r="Q135" s="13">
        <f t="shared" si="46"/>
        <v>124.29534910697099</v>
      </c>
      <c r="R135" s="23">
        <v>0.7412541749099435</v>
      </c>
      <c r="S135" s="13">
        <f t="shared" si="47"/>
        <v>21.774367726768638</v>
      </c>
      <c r="T135" s="23">
        <v>8.2569859319809478</v>
      </c>
      <c r="U135" s="14">
        <f t="shared" si="48"/>
        <v>24.254925514524313</v>
      </c>
      <c r="V135" s="23">
        <v>7.9254183250660875</v>
      </c>
      <c r="W135" s="14">
        <f t="shared" si="49"/>
        <v>23.280944491061483</v>
      </c>
      <c r="X135" s="23">
        <v>9.4163386040389145</v>
      </c>
      <c r="Y135" s="14">
        <f t="shared" si="50"/>
        <v>27.660528108191858</v>
      </c>
      <c r="Z135" s="23">
        <v>0.43158218601845028</v>
      </c>
      <c r="AA135" s="14">
        <f t="shared" si="51"/>
        <v>1.2677742049587934</v>
      </c>
      <c r="AB135" s="24">
        <v>2818.310144188848</v>
      </c>
      <c r="AC135" s="15">
        <f t="shared" si="52"/>
        <v>8278.7960627818247</v>
      </c>
      <c r="AD135" s="24">
        <v>91.477113888625851</v>
      </c>
      <c r="AE135" s="15">
        <f t="shared" si="53"/>
        <v>268.71434709105392</v>
      </c>
      <c r="AF135" s="24">
        <v>412.88029129098425</v>
      </c>
      <c r="AG135" s="15">
        <f t="shared" si="54"/>
        <v>1212.8373227439129</v>
      </c>
      <c r="AH135" s="24">
        <v>9.523057108218028</v>
      </c>
      <c r="AI135" s="15">
        <f t="shared" si="55"/>
        <v>27.974014093418049</v>
      </c>
    </row>
    <row r="136" spans="1:35" x14ac:dyDescent="0.45">
      <c r="A136" s="11" t="s">
        <v>2</v>
      </c>
      <c r="B136" s="11" t="s">
        <v>3</v>
      </c>
      <c r="C136" s="10" t="s">
        <v>6</v>
      </c>
      <c r="D136" t="s">
        <v>65</v>
      </c>
      <c r="E136" t="s">
        <v>52</v>
      </c>
      <c r="F136" t="s">
        <v>48</v>
      </c>
      <c r="G136" s="12">
        <v>1.4687517766368094</v>
      </c>
      <c r="H136" s="21">
        <v>0.13268356435652992</v>
      </c>
      <c r="I136" s="13">
        <f t="shared" si="42"/>
        <v>3897.5844175831553</v>
      </c>
      <c r="J136" s="14">
        <v>88.942076147829212</v>
      </c>
      <c r="K136" s="14">
        <f t="shared" si="43"/>
        <v>261.26766471978107</v>
      </c>
      <c r="L136" s="22">
        <v>26020.288234737272</v>
      </c>
      <c r="M136" s="14">
        <f t="shared" si="44"/>
        <v>76434.68914674448</v>
      </c>
      <c r="N136" s="14">
        <v>94.335372254665671</v>
      </c>
      <c r="O136" s="14">
        <f t="shared" si="45"/>
        <v>277.11049119746997</v>
      </c>
      <c r="P136" s="23">
        <v>4.4267795967993822</v>
      </c>
      <c r="Q136" s="13">
        <f t="shared" si="46"/>
        <v>130.03680795157342</v>
      </c>
      <c r="R136" s="23">
        <v>1.4585932772864325</v>
      </c>
      <c r="S136" s="13">
        <f t="shared" si="47"/>
        <v>42.846229348099079</v>
      </c>
      <c r="T136" s="23">
        <v>15.217092571551058</v>
      </c>
      <c r="U136" s="14">
        <f t="shared" si="48"/>
        <v>44.700263499424821</v>
      </c>
      <c r="V136" s="23">
        <v>11.107062462060751</v>
      </c>
      <c r="W136" s="14">
        <f t="shared" si="49"/>
        <v>32.627035448735484</v>
      </c>
      <c r="X136" s="23">
        <v>12.676965283553439</v>
      </c>
      <c r="Y136" s="14">
        <f t="shared" si="50"/>
        <v>37.238630565164534</v>
      </c>
      <c r="Z136" s="23">
        <v>7.4374146168215995</v>
      </c>
      <c r="AA136" s="14">
        <f t="shared" si="51"/>
        <v>21.847431864082598</v>
      </c>
      <c r="AB136" s="24">
        <v>2883.4482485355779</v>
      </c>
      <c r="AC136" s="15">
        <f t="shared" si="52"/>
        <v>8470.1394757538528</v>
      </c>
      <c r="AD136" s="24">
        <v>149.07623597871014</v>
      </c>
      <c r="AE136" s="15">
        <f t="shared" si="53"/>
        <v>437.9119728961175</v>
      </c>
      <c r="AF136" s="24">
        <v>485.47853164119425</v>
      </c>
      <c r="AG136" s="15">
        <f t="shared" si="54"/>
        <v>1426.094911734067</v>
      </c>
      <c r="AH136" s="24">
        <v>13.828782416446138</v>
      </c>
      <c r="AI136" s="15">
        <f t="shared" si="55"/>
        <v>40.622097485758268</v>
      </c>
    </row>
    <row r="137" spans="1:35" x14ac:dyDescent="0.45">
      <c r="A137" s="11" t="s">
        <v>2</v>
      </c>
      <c r="B137" s="11" t="s">
        <v>3</v>
      </c>
      <c r="C137" s="10" t="s">
        <v>6</v>
      </c>
      <c r="D137" t="s">
        <v>65</v>
      </c>
      <c r="E137" t="s">
        <v>53</v>
      </c>
      <c r="F137" t="s">
        <v>48</v>
      </c>
      <c r="G137" s="12">
        <v>1.4687517766368094</v>
      </c>
      <c r="H137" s="21">
        <v>9.4916953722433473E-2</v>
      </c>
      <c r="I137" s="13">
        <f t="shared" si="42"/>
        <v>2788.1888882555595</v>
      </c>
      <c r="J137" s="14">
        <v>103.26917201344334</v>
      </c>
      <c r="K137" s="14">
        <f t="shared" si="43"/>
        <v>303.35355973311437</v>
      </c>
      <c r="L137" s="22">
        <v>29103.130294697665</v>
      </c>
      <c r="M137" s="14">
        <f t="shared" si="44"/>
        <v>85490.5486520595</v>
      </c>
      <c r="N137" s="14">
        <v>105.14679332277868</v>
      </c>
      <c r="O137" s="14">
        <f t="shared" si="45"/>
        <v>308.86907900098913</v>
      </c>
      <c r="P137" s="23">
        <v>3.4516969696969699</v>
      </c>
      <c r="Q137" s="13">
        <f t="shared" si="46"/>
        <v>101.39372113308632</v>
      </c>
      <c r="R137" s="23">
        <v>1.1061818181818184</v>
      </c>
      <c r="S137" s="13">
        <f t="shared" si="47"/>
        <v>32.494130214757639</v>
      </c>
      <c r="T137" s="23">
        <v>10.482421258347753</v>
      </c>
      <c r="U137" s="14">
        <f t="shared" si="48"/>
        <v>30.79214969330744</v>
      </c>
      <c r="V137" s="23">
        <v>319.99455172006736</v>
      </c>
      <c r="W137" s="14">
        <f t="shared" si="49"/>
        <v>939.9851327058966</v>
      </c>
      <c r="X137" s="23">
        <v>41.986624472765413</v>
      </c>
      <c r="Y137" s="14">
        <f t="shared" si="50"/>
        <v>123.33585857871347</v>
      </c>
      <c r="Z137" s="23">
        <v>0.552455585167966</v>
      </c>
      <c r="AA137" s="14">
        <f t="shared" si="51"/>
        <v>1.6228402444567565</v>
      </c>
      <c r="AB137" s="24">
        <v>2401.9582039269358</v>
      </c>
      <c r="AC137" s="15">
        <f t="shared" si="52"/>
        <v>7055.7607588500932</v>
      </c>
      <c r="AD137" s="24">
        <v>260.95348388342018</v>
      </c>
      <c r="AE137" s="15">
        <f t="shared" si="53"/>
        <v>766.55178614667682</v>
      </c>
      <c r="AF137" s="24">
        <v>466.55319845823612</v>
      </c>
      <c r="AG137" s="15">
        <f t="shared" si="54"/>
        <v>1370.5016782622404</v>
      </c>
      <c r="AH137" s="24">
        <v>13.937288343773577</v>
      </c>
      <c r="AI137" s="15">
        <f t="shared" si="55"/>
        <v>40.940834032833877</v>
      </c>
    </row>
    <row r="138" spans="1:35" x14ac:dyDescent="0.45">
      <c r="A138" s="11" t="s">
        <v>2</v>
      </c>
      <c r="B138" s="11" t="s">
        <v>3</v>
      </c>
      <c r="C138" s="10" t="s">
        <v>6</v>
      </c>
      <c r="D138" t="s">
        <v>65</v>
      </c>
      <c r="E138" t="s">
        <v>54</v>
      </c>
      <c r="F138" t="s">
        <v>48</v>
      </c>
      <c r="G138" s="12">
        <v>1.4687517766368094</v>
      </c>
      <c r="H138" s="21">
        <v>0.11713545568956001</v>
      </c>
      <c r="I138" s="13">
        <f t="shared" si="42"/>
        <v>3440.8581730240708</v>
      </c>
      <c r="J138" s="14">
        <v>141.52552422994157</v>
      </c>
      <c r="K138" s="14">
        <f t="shared" si="43"/>
        <v>415.73173030436499</v>
      </c>
      <c r="L138" s="22">
        <v>29987.576113057548</v>
      </c>
      <c r="M138" s="14">
        <f t="shared" si="44"/>
        <v>88088.611386169636</v>
      </c>
      <c r="N138" s="14">
        <v>115.79361073358857</v>
      </c>
      <c r="O138" s="14">
        <f t="shared" si="45"/>
        <v>340.14414297629861</v>
      </c>
      <c r="P138" s="23">
        <v>4.2965842766755831</v>
      </c>
      <c r="Q138" s="13">
        <f t="shared" si="46"/>
        <v>126.21231579674085</v>
      </c>
      <c r="R138" s="23">
        <v>1.2745848093487375</v>
      </c>
      <c r="S138" s="13">
        <f t="shared" si="47"/>
        <v>37.440974064104942</v>
      </c>
      <c r="T138" s="23">
        <v>11.48303339336684</v>
      </c>
      <c r="U138" s="14">
        <f t="shared" si="48"/>
        <v>33.731451395374712</v>
      </c>
      <c r="V138" s="23">
        <v>50.327457517230492</v>
      </c>
      <c r="W138" s="14">
        <f t="shared" si="49"/>
        <v>147.83708528409164</v>
      </c>
      <c r="X138" s="23">
        <v>15.140430288377196</v>
      </c>
      <c r="Y138" s="14">
        <f t="shared" si="50"/>
        <v>44.47506777019953</v>
      </c>
      <c r="Z138" s="23">
        <v>3.6796249890741728</v>
      </c>
      <c r="AA138" s="14">
        <f t="shared" si="51"/>
        <v>10.808911480119784</v>
      </c>
      <c r="AB138" s="24">
        <v>3137.0829471083334</v>
      </c>
      <c r="AC138" s="15">
        <f t="shared" si="52"/>
        <v>9215.1923040448055</v>
      </c>
      <c r="AD138" s="24">
        <v>146.1217562899802</v>
      </c>
      <c r="AE138" s="15">
        <f t="shared" si="53"/>
        <v>429.23317831239854</v>
      </c>
      <c r="AF138" s="24">
        <v>493.79076263510547</v>
      </c>
      <c r="AG138" s="15">
        <f t="shared" si="54"/>
        <v>1450.5121198143122</v>
      </c>
      <c r="AH138" s="24">
        <v>12.193608628336277</v>
      </c>
      <c r="AI138" s="15">
        <f t="shared" si="55"/>
        <v>35.818768672965668</v>
      </c>
    </row>
    <row r="139" spans="1:35" x14ac:dyDescent="0.45">
      <c r="A139" s="11" t="s">
        <v>2</v>
      </c>
      <c r="B139" s="11" t="s">
        <v>3</v>
      </c>
      <c r="C139" s="10" t="s">
        <v>6</v>
      </c>
      <c r="D139" t="s">
        <v>65</v>
      </c>
      <c r="E139" t="s">
        <v>55</v>
      </c>
      <c r="F139" t="s">
        <v>48</v>
      </c>
      <c r="G139" s="12">
        <v>1.4687517766368094</v>
      </c>
      <c r="H139" s="21">
        <v>0.15654497867769987</v>
      </c>
      <c r="I139" s="13">
        <f t="shared" si="42"/>
        <v>4598.5143111288626</v>
      </c>
      <c r="J139" s="14">
        <v>230.6688619685315</v>
      </c>
      <c r="K139" s="14">
        <f t="shared" si="43"/>
        <v>677.59060166214329</v>
      </c>
      <c r="L139" s="22">
        <v>26585.563752305323</v>
      </c>
      <c r="M139" s="14">
        <f t="shared" si="44"/>
        <v>78095.187988179197</v>
      </c>
      <c r="N139" s="14">
        <v>129.99558746531648</v>
      </c>
      <c r="O139" s="14">
        <f t="shared" si="45"/>
        <v>381.86250008925862</v>
      </c>
      <c r="P139" s="23">
        <v>5.1108791492942851</v>
      </c>
      <c r="Q139" s="13">
        <f t="shared" si="46"/>
        <v>150.13225661404013</v>
      </c>
      <c r="R139" s="23">
        <v>1.4983701923633848</v>
      </c>
      <c r="S139" s="13">
        <f t="shared" si="47"/>
        <v>44.014677641867181</v>
      </c>
      <c r="T139" s="23">
        <v>18.329891069559569</v>
      </c>
      <c r="U139" s="14">
        <f t="shared" si="48"/>
        <v>53.844120147949603</v>
      </c>
      <c r="V139" s="23">
        <v>240.8031971127956</v>
      </c>
      <c r="W139" s="14">
        <f t="shared" si="49"/>
        <v>707.36024715848475</v>
      </c>
      <c r="X139" s="23">
        <v>42.665664686613432</v>
      </c>
      <c r="Y139" s="14">
        <f t="shared" si="50"/>
        <v>125.33054161970772</v>
      </c>
      <c r="Z139" s="23">
        <v>8.3776147844185616</v>
      </c>
      <c r="AA139" s="14">
        <f t="shared" si="51"/>
        <v>24.609273197187125</v>
      </c>
      <c r="AB139" s="24">
        <v>3570.6831671208079</v>
      </c>
      <c r="AC139" s="15">
        <f t="shared" si="52"/>
        <v>10488.894491031671</v>
      </c>
      <c r="AD139" s="24">
        <v>291.42506326013103</v>
      </c>
      <c r="AE139" s="15">
        <f t="shared" si="53"/>
        <v>856.06215883962409</v>
      </c>
      <c r="AF139" s="24">
        <v>322.40712978612504</v>
      </c>
      <c r="AG139" s="15">
        <f t="shared" si="54"/>
        <v>947.07208934749099</v>
      </c>
      <c r="AH139" s="24">
        <v>14.329205768272224</v>
      </c>
      <c r="AI139" s="15">
        <f t="shared" si="55"/>
        <v>42.092092859888496</v>
      </c>
    </row>
    <row r="140" spans="1:35" x14ac:dyDescent="0.45">
      <c r="A140" s="11" t="s">
        <v>2</v>
      </c>
      <c r="B140" s="11" t="s">
        <v>3</v>
      </c>
      <c r="C140" s="10" t="s">
        <v>6</v>
      </c>
      <c r="D140" t="s">
        <v>65</v>
      </c>
      <c r="E140" t="s">
        <v>56</v>
      </c>
      <c r="F140" t="s">
        <v>48</v>
      </c>
      <c r="G140" s="12">
        <v>1.4006073402301149</v>
      </c>
      <c r="H140" s="21">
        <v>0.12030477660577994</v>
      </c>
      <c r="I140" s="13">
        <f>G140*0.1*10000*H140/100*1000</f>
        <v>1684.9975317879962</v>
      </c>
      <c r="J140" s="14">
        <v>183.1555352887907</v>
      </c>
      <c r="K140" s="14">
        <f>G140*0.1*10000*1000*J140/1000000</f>
        <v>256.52898712925611</v>
      </c>
      <c r="L140" s="22">
        <v>34429.2372346142</v>
      </c>
      <c r="M140" s="14">
        <f>G140*0.1*10000*1000*L140/1000000</f>
        <v>48221.842389324629</v>
      </c>
      <c r="N140" s="14">
        <v>142.1206885847447</v>
      </c>
      <c r="O140" s="14">
        <f>G140*0.1*10000*1000*N140/1000000</f>
        <v>199.05527963035175</v>
      </c>
      <c r="P140" s="23">
        <v>3.2057142857142855</v>
      </c>
      <c r="Q140" s="13">
        <f>G140*0.1*10000*P140/100</f>
        <v>44.899469592519679</v>
      </c>
      <c r="R140" s="23">
        <v>1.2021428571428567</v>
      </c>
      <c r="S140" s="13">
        <f>G140*0.1*10000*R140/100</f>
        <v>16.837301097194874</v>
      </c>
      <c r="T140" s="23">
        <v>10.678971796904897</v>
      </c>
      <c r="U140" s="14">
        <f>G140*0.1*10000*1000*T140/1000000</f>
        <v>14.957046284855378</v>
      </c>
      <c r="V140" s="23">
        <v>10.134967293201953</v>
      </c>
      <c r="W140" s="14">
        <f>G140*0.1*10000*1000*V140/1000000</f>
        <v>14.195109583850796</v>
      </c>
      <c r="X140" s="23">
        <v>14.196997835318609</v>
      </c>
      <c r="Y140" s="14">
        <f>G140*0.1*10000*1000*X140/1000000</f>
        <v>19.884419377378297</v>
      </c>
      <c r="Z140" s="23">
        <v>6.7264812690001046</v>
      </c>
      <c r="AA140" s="14">
        <f>G140*0.1*10000*1000*Z140/1000000</f>
        <v>9.4211590392819247</v>
      </c>
      <c r="AB140" s="24">
        <v>3304.6809834165097</v>
      </c>
      <c r="AC140" s="15">
        <f>G140*0.1*10000*1000*AB140/1000000</f>
        <v>4628.5604424920384</v>
      </c>
      <c r="AD140" s="24">
        <v>182.22955137125319</v>
      </c>
      <c r="AE140" s="15">
        <f>G140*0.1*10000*1000*AD140/1000000</f>
        <v>255.23204725741803</v>
      </c>
      <c r="AF140" s="24">
        <v>540.0792921469266</v>
      </c>
      <c r="AG140" s="15">
        <f>G140*0.1*10000*1000*AF140/1000000</f>
        <v>756.43902088727009</v>
      </c>
      <c r="AH140" s="24">
        <v>14.351757413694555</v>
      </c>
      <c r="AI140" s="15">
        <f>G140*0.1*10000*1000*AH140/1000000</f>
        <v>20.101176778822563</v>
      </c>
    </row>
    <row r="141" spans="1:35" x14ac:dyDescent="0.45">
      <c r="A141" s="11" t="s">
        <v>2</v>
      </c>
      <c r="B141" s="11" t="s">
        <v>3</v>
      </c>
      <c r="C141" s="10" t="s">
        <v>6</v>
      </c>
      <c r="D141" t="s">
        <v>65</v>
      </c>
      <c r="E141" t="s">
        <v>57</v>
      </c>
      <c r="F141" t="s">
        <v>48</v>
      </c>
      <c r="G141" s="12">
        <v>1.4687517766368094</v>
      </c>
      <c r="H141" s="21">
        <v>0.10093473437075817</v>
      </c>
      <c r="I141" s="13">
        <f t="shared" ref="I141:I148" si="56">G141*0.2*10000*H141/100*1000</f>
        <v>2964.96140862831</v>
      </c>
      <c r="J141" s="14">
        <v>59.594387386673397</v>
      </c>
      <c r="K141" s="14">
        <f t="shared" ref="K141:K148" si="57">G141*0.2*10000*1000*J141/1000000</f>
        <v>175.05872470351761</v>
      </c>
      <c r="L141" s="22">
        <v>33533.819269028449</v>
      </c>
      <c r="M141" s="14">
        <f t="shared" ref="M141:M148" si="58">G141*0.2*10000*1000*L141/1000000</f>
        <v>98505.713257606418</v>
      </c>
      <c r="N141" s="14">
        <v>111.14065814877996</v>
      </c>
      <c r="O141" s="14">
        <f t="shared" ref="O141:O148" si="59">G141*0.2*10000*1000*N141/1000000</f>
        <v>326.47607822520973</v>
      </c>
      <c r="P141" s="23">
        <v>3.174593016088092</v>
      </c>
      <c r="Q141" s="13">
        <f t="shared" ref="Q141:Q148" si="60">G141*0.2*10000*P141/100</f>
        <v>93.253782649563831</v>
      </c>
      <c r="R141" s="23">
        <v>0.9697309856217643</v>
      </c>
      <c r="S141" s="13">
        <f t="shared" ref="S141:S148" si="61">G141*0.2*10000*R141/100</f>
        <v>28.48588215983461</v>
      </c>
      <c r="T141" s="23">
        <v>9.6857407769562816</v>
      </c>
      <c r="U141" s="14">
        <f t="shared" ref="U141:U148" si="62">G141*0.2*10000*1000*T141/1000000</f>
        <v>28.451897948396258</v>
      </c>
      <c r="V141" s="23">
        <v>203.422440756687</v>
      </c>
      <c r="W141" s="14">
        <f t="shared" ref="W141:W148" si="63">G141*0.2*10000*1000*V141/1000000</f>
        <v>597.55414253836022</v>
      </c>
      <c r="X141" s="23">
        <v>23.040705024481891</v>
      </c>
      <c r="Y141" s="14">
        <f t="shared" ref="Y141:Y148" si="64">G141*0.2*10000*1000*X141/1000000</f>
        <v>67.682152879344883</v>
      </c>
      <c r="Z141" s="23">
        <v>1.5320932126961362</v>
      </c>
      <c r="AA141" s="14">
        <f t="shared" ref="AA141:AA148" si="65">G141*0.2*10000*1000*Z141/1000000</f>
        <v>4.5005292562412933</v>
      </c>
      <c r="AB141" s="24">
        <v>3345.8554474669058</v>
      </c>
      <c r="AC141" s="15">
        <f t="shared" ref="AC141:AC148" si="66">G141*0.2*10000*1000*AB141/1000000</f>
        <v>9828.4622656739284</v>
      </c>
      <c r="AD141" s="24">
        <v>258.97299226156281</v>
      </c>
      <c r="AE141" s="15">
        <f t="shared" ref="AE141:AE148" si="67">G141*0.2*10000*1000*AD141/1000000</f>
        <v>760.73408497024218</v>
      </c>
      <c r="AF141" s="24">
        <v>633.25512706294558</v>
      </c>
      <c r="AG141" s="15">
        <f t="shared" ref="AG141:AG148" si="68">G141*0.2*10000*1000*AF141/1000000</f>
        <v>1860.1891858761394</v>
      </c>
      <c r="AH141" s="24">
        <v>20.982483314622971</v>
      </c>
      <c r="AI141" s="15">
        <f t="shared" ref="AI141:AI148" si="69">G141*0.2*10000*1000*AH141/1000000</f>
        <v>61.636119293209397</v>
      </c>
    </row>
    <row r="142" spans="1:35" x14ac:dyDescent="0.45">
      <c r="A142" s="11" t="s">
        <v>2</v>
      </c>
      <c r="B142" s="11" t="s">
        <v>3</v>
      </c>
      <c r="C142" s="10" t="s">
        <v>6</v>
      </c>
      <c r="D142" t="s">
        <v>65</v>
      </c>
      <c r="E142" t="s">
        <v>51</v>
      </c>
      <c r="F142" t="s">
        <v>49</v>
      </c>
      <c r="G142" s="12">
        <v>1.4687517766368094</v>
      </c>
      <c r="H142" s="25">
        <v>8.1391211105007952E-2</v>
      </c>
      <c r="I142" s="19">
        <f t="shared" si="56"/>
        <v>2390.8697182620404</v>
      </c>
      <c r="J142" s="15">
        <v>53.457954065106797</v>
      </c>
      <c r="K142" s="15">
        <f t="shared" si="57"/>
        <v>157.0329300169891</v>
      </c>
      <c r="L142" s="26">
        <v>26929.194088977016</v>
      </c>
      <c r="M142" s="15">
        <f t="shared" si="58"/>
        <v>79104.60332316492</v>
      </c>
      <c r="N142" s="15">
        <v>85.292466036462514</v>
      </c>
      <c r="O142" s="15">
        <f t="shared" si="59"/>
        <v>250.54692204957806</v>
      </c>
      <c r="P142" s="27">
        <v>3.9329717565396543</v>
      </c>
      <c r="Q142" s="19">
        <f t="shared" si="60"/>
        <v>115.53118509760021</v>
      </c>
      <c r="R142" s="27">
        <v>0.76417845010485508</v>
      </c>
      <c r="S142" s="19">
        <f t="shared" si="61"/>
        <v>22.447769125181384</v>
      </c>
      <c r="T142" s="27">
        <v>7.0860932613661758</v>
      </c>
      <c r="U142" s="15">
        <f t="shared" si="62"/>
        <v>20.815424134091383</v>
      </c>
      <c r="V142" s="27">
        <v>134.51171532942843</v>
      </c>
      <c r="W142" s="15">
        <f t="shared" si="63"/>
        <v>395.12864173712552</v>
      </c>
      <c r="X142" s="27">
        <v>13.217623277019872</v>
      </c>
      <c r="Y142" s="15">
        <f t="shared" si="64"/>
        <v>38.826815342077964</v>
      </c>
      <c r="Z142" s="27">
        <v>1.7214117139150025</v>
      </c>
      <c r="AA142" s="15">
        <f t="shared" si="65"/>
        <v>5.0566530262721496</v>
      </c>
      <c r="AB142" s="24">
        <v>2834.4073422070987</v>
      </c>
      <c r="AC142" s="15">
        <f t="shared" si="66"/>
        <v>8326.0816391581866</v>
      </c>
      <c r="AD142" s="24">
        <v>144.49919783800897</v>
      </c>
      <c r="AE142" s="15">
        <f t="shared" si="67"/>
        <v>424.46690709433898</v>
      </c>
      <c r="AF142" s="24">
        <v>437.20270115089892</v>
      </c>
      <c r="AG142" s="15">
        <f t="shared" si="68"/>
        <v>1284.2844881315896</v>
      </c>
      <c r="AH142" s="24">
        <v>16.209845911315107</v>
      </c>
      <c r="AI142" s="15">
        <f t="shared" si="69"/>
        <v>47.616479962505963</v>
      </c>
    </row>
    <row r="143" spans="1:35" x14ac:dyDescent="0.45">
      <c r="A143" s="11" t="s">
        <v>2</v>
      </c>
      <c r="B143" s="11" t="s">
        <v>3</v>
      </c>
      <c r="C143" s="10" t="s">
        <v>6</v>
      </c>
      <c r="D143" t="s">
        <v>65</v>
      </c>
      <c r="E143" t="s">
        <v>52</v>
      </c>
      <c r="F143" t="s">
        <v>49</v>
      </c>
      <c r="G143" s="12">
        <v>1.4687517766368094</v>
      </c>
      <c r="H143" s="25">
        <v>9.1680429154892898E-2</v>
      </c>
      <c r="I143" s="19">
        <f t="shared" si="56"/>
        <v>2693.1158640814815</v>
      </c>
      <c r="J143" s="15">
        <v>67.877212318105236</v>
      </c>
      <c r="K143" s="15">
        <f t="shared" si="57"/>
        <v>199.38955237074197</v>
      </c>
      <c r="L143" s="26">
        <v>29247.092954712993</v>
      </c>
      <c r="M143" s="15">
        <f t="shared" si="58"/>
        <v>85913.439477393229</v>
      </c>
      <c r="N143" s="15">
        <v>93.830264086792539</v>
      </c>
      <c r="O143" s="15">
        <f t="shared" si="59"/>
        <v>275.6267341595551</v>
      </c>
      <c r="P143" s="27">
        <v>3.9675628071950819</v>
      </c>
      <c r="Q143" s="19">
        <f t="shared" si="60"/>
        <v>116.54729843971808</v>
      </c>
      <c r="R143" s="27">
        <v>0.82442863526131593</v>
      </c>
      <c r="S143" s="19">
        <f t="shared" si="61"/>
        <v>24.217620455006358</v>
      </c>
      <c r="T143" s="27">
        <v>8.8480345956075546</v>
      </c>
      <c r="U143" s="15">
        <f t="shared" si="62"/>
        <v>25.991133064085098</v>
      </c>
      <c r="V143" s="27">
        <v>5.9675748612606894</v>
      </c>
      <c r="W143" s="15">
        <f t="shared" si="63"/>
        <v>17.529772359379596</v>
      </c>
      <c r="X143" s="27">
        <v>10.830043266732362</v>
      </c>
      <c r="Y143" s="15">
        <f t="shared" si="64"/>
        <v>31.813290578133344</v>
      </c>
      <c r="Z143" s="27">
        <v>2.402405338671775</v>
      </c>
      <c r="AA143" s="15">
        <f t="shared" si="65"/>
        <v>7.0570742187518505</v>
      </c>
      <c r="AB143" s="24">
        <v>2570.5062637157062</v>
      </c>
      <c r="AC143" s="15">
        <f t="shared" si="66"/>
        <v>7550.8712833769805</v>
      </c>
      <c r="AD143" s="24">
        <v>109.85900446288758</v>
      </c>
      <c r="AE143" s="15">
        <f t="shared" si="67"/>
        <v>322.71121596883455</v>
      </c>
      <c r="AF143" s="24">
        <v>397.63126394089403</v>
      </c>
      <c r="AG143" s="15">
        <f t="shared" si="68"/>
        <v>1168.0432507190565</v>
      </c>
      <c r="AH143" s="24">
        <v>11.083120804220519</v>
      </c>
      <c r="AI143" s="15">
        <f t="shared" si="69"/>
        <v>32.556706743758539</v>
      </c>
    </row>
    <row r="144" spans="1:35" x14ac:dyDescent="0.45">
      <c r="A144" s="11" t="s">
        <v>2</v>
      </c>
      <c r="B144" s="11" t="s">
        <v>3</v>
      </c>
      <c r="C144" s="10" t="s">
        <v>6</v>
      </c>
      <c r="D144" t="s">
        <v>65</v>
      </c>
      <c r="E144" t="s">
        <v>53</v>
      </c>
      <c r="F144" t="s">
        <v>49</v>
      </c>
      <c r="G144" s="12">
        <v>1.4687517766368094</v>
      </c>
      <c r="H144" s="25">
        <v>0.25215653039995989</v>
      </c>
      <c r="I144" s="19">
        <f t="shared" si="56"/>
        <v>7407.1070403102949</v>
      </c>
      <c r="J144" s="15">
        <v>382.7708364856951</v>
      </c>
      <c r="K144" s="15">
        <f t="shared" si="57"/>
        <v>1124.3906922662447</v>
      </c>
      <c r="L144" s="26">
        <v>29258.92257953481</v>
      </c>
      <c r="M144" s="15">
        <f t="shared" si="58"/>
        <v>85948.189042341211</v>
      </c>
      <c r="N144" s="15">
        <v>174.35111400133755</v>
      </c>
      <c r="O144" s="15">
        <f t="shared" si="59"/>
        <v>512.15701689614286</v>
      </c>
      <c r="P144" s="27">
        <v>5.3028189910979231</v>
      </c>
      <c r="Q144" s="19">
        <f t="shared" si="60"/>
        <v>155.77049628716975</v>
      </c>
      <c r="R144" s="27">
        <v>3.2331750741839764</v>
      </c>
      <c r="S144" s="19">
        <f t="shared" si="61"/>
        <v>94.974632687711278</v>
      </c>
      <c r="T144" s="27">
        <v>18.041223621934769</v>
      </c>
      <c r="U144" s="15">
        <f t="shared" si="62"/>
        <v>52.996158494837331</v>
      </c>
      <c r="V144" s="27">
        <v>90.338325892922654</v>
      </c>
      <c r="W144" s="15">
        <f t="shared" si="63"/>
        <v>265.36915330725043</v>
      </c>
      <c r="X144" s="27">
        <v>22.517455013998966</v>
      </c>
      <c r="Y144" s="15">
        <f t="shared" si="64"/>
        <v>66.145104114300821</v>
      </c>
      <c r="Z144" s="27">
        <v>16.508479560016511</v>
      </c>
      <c r="AA144" s="15">
        <f t="shared" si="65"/>
        <v>48.49371736669341</v>
      </c>
      <c r="AB144" s="24">
        <v>4131.7015706661987</v>
      </c>
      <c r="AC144" s="15">
        <f t="shared" si="66"/>
        <v>12136.888044898149</v>
      </c>
      <c r="AD144" s="24">
        <v>199.89019172898966</v>
      </c>
      <c r="AE144" s="15">
        <f t="shared" si="67"/>
        <v>587.17814846845215</v>
      </c>
      <c r="AF144" s="24">
        <v>558.5448419604304</v>
      </c>
      <c r="AG144" s="15">
        <f t="shared" si="68"/>
        <v>1640.7274579214161</v>
      </c>
      <c r="AH144" s="24">
        <v>14.633109729442786</v>
      </c>
      <c r="AI144" s="15">
        <f t="shared" si="69"/>
        <v>42.98481182568095</v>
      </c>
    </row>
    <row r="145" spans="1:35" x14ac:dyDescent="0.45">
      <c r="A145" s="11" t="s">
        <v>2</v>
      </c>
      <c r="B145" s="11" t="s">
        <v>3</v>
      </c>
      <c r="C145" s="10" t="s">
        <v>6</v>
      </c>
      <c r="D145" t="s">
        <v>65</v>
      </c>
      <c r="E145" t="s">
        <v>54</v>
      </c>
      <c r="F145" t="s">
        <v>49</v>
      </c>
      <c r="G145" s="12">
        <v>1.4687517766368094</v>
      </c>
      <c r="H145" s="25">
        <v>9.2441618045342164E-2</v>
      </c>
      <c r="I145" s="19">
        <f t="shared" si="56"/>
        <v>2715.4758147855528</v>
      </c>
      <c r="J145" s="15">
        <v>69.681655750994935</v>
      </c>
      <c r="K145" s="15">
        <f t="shared" si="57"/>
        <v>204.69011136653671</v>
      </c>
      <c r="L145" s="26">
        <v>29670.27505624888</v>
      </c>
      <c r="M145" s="15">
        <f t="shared" si="58"/>
        <v>87156.538404336694</v>
      </c>
      <c r="N145" s="15">
        <v>100.51168097230891</v>
      </c>
      <c r="O145" s="15">
        <f t="shared" si="59"/>
        <v>295.25342000166177</v>
      </c>
      <c r="P145" s="27">
        <v>3.2029052258635957</v>
      </c>
      <c r="Q145" s="19">
        <f t="shared" si="60"/>
        <v>94.085454817729556</v>
      </c>
      <c r="R145" s="27">
        <v>0.88285208148804251</v>
      </c>
      <c r="S145" s="19">
        <f t="shared" si="61"/>
        <v>25.933811263861354</v>
      </c>
      <c r="T145" s="27">
        <v>8.7071348554092172</v>
      </c>
      <c r="U145" s="15">
        <f t="shared" si="62"/>
        <v>25.577239576597151</v>
      </c>
      <c r="V145" s="27">
        <v>410.15146764902653</v>
      </c>
      <c r="W145" s="15">
        <f t="shared" si="63"/>
        <v>1204.8213935994052</v>
      </c>
      <c r="X145" s="27">
        <v>67.002675796906075</v>
      </c>
      <c r="Y145" s="15">
        <f t="shared" si="64"/>
        <v>196.82059823225188</v>
      </c>
      <c r="Z145" s="27">
        <v>2.1142330446311792</v>
      </c>
      <c r="AA145" s="15">
        <f t="shared" si="65"/>
        <v>6.2105670810525906</v>
      </c>
      <c r="AB145" s="24">
        <v>2446.4427251002357</v>
      </c>
      <c r="AC145" s="15">
        <f t="shared" si="66"/>
        <v>7186.434197862337</v>
      </c>
      <c r="AD145" s="24">
        <v>379.105246714006</v>
      </c>
      <c r="AE145" s="15">
        <f t="shared" si="67"/>
        <v>1113.6230092870646</v>
      </c>
      <c r="AF145" s="24">
        <v>453.80578793844063</v>
      </c>
      <c r="AG145" s="15">
        <f t="shared" si="68"/>
        <v>1333.0561145653035</v>
      </c>
      <c r="AH145" s="24">
        <v>16.714246098967259</v>
      </c>
      <c r="AI145" s="15">
        <f t="shared" si="69"/>
        <v>49.098157306006044</v>
      </c>
    </row>
    <row r="146" spans="1:35" x14ac:dyDescent="0.45">
      <c r="A146" s="11" t="s">
        <v>2</v>
      </c>
      <c r="B146" s="11" t="s">
        <v>3</v>
      </c>
      <c r="C146" s="10" t="s">
        <v>6</v>
      </c>
      <c r="D146" t="s">
        <v>65</v>
      </c>
      <c r="E146" t="s">
        <v>55</v>
      </c>
      <c r="F146" t="s">
        <v>49</v>
      </c>
      <c r="G146" s="12">
        <v>1.4687517766368094</v>
      </c>
      <c r="H146" s="25">
        <v>9.5366458624387432E-2</v>
      </c>
      <c r="I146" s="19">
        <f t="shared" si="56"/>
        <v>2801.3931107225958</v>
      </c>
      <c r="J146" s="15">
        <v>80.38199292917912</v>
      </c>
      <c r="K146" s="15">
        <f t="shared" si="57"/>
        <v>236.12238984867855</v>
      </c>
      <c r="L146" s="26">
        <v>29833.514021803843</v>
      </c>
      <c r="M146" s="15">
        <f t="shared" si="58"/>
        <v>87636.053445687125</v>
      </c>
      <c r="N146" s="15">
        <v>102.08810445999319</v>
      </c>
      <c r="O146" s="15">
        <f t="shared" si="59"/>
        <v>299.88416959819835</v>
      </c>
      <c r="P146" s="27">
        <v>4.3309936727839133</v>
      </c>
      <c r="Q146" s="19">
        <f t="shared" si="60"/>
        <v>127.22309303008305</v>
      </c>
      <c r="R146" s="27">
        <v>0.88682251395099176</v>
      </c>
      <c r="S146" s="19">
        <f t="shared" si="61"/>
        <v>26.050442858540819</v>
      </c>
      <c r="T146" s="27">
        <v>10.333578644819898</v>
      </c>
      <c r="U146" s="15">
        <f t="shared" si="62"/>
        <v>30.354923987190837</v>
      </c>
      <c r="V146" s="27">
        <v>5.1162003542747208</v>
      </c>
      <c r="W146" s="15">
        <f t="shared" si="63"/>
        <v>15.028856719941739</v>
      </c>
      <c r="X146" s="27">
        <v>12.602617821829257</v>
      </c>
      <c r="Y146" s="15">
        <f t="shared" si="64"/>
        <v>37.020234632172873</v>
      </c>
      <c r="Z146" s="27">
        <v>2.1678815060486101</v>
      </c>
      <c r="AA146" s="15">
        <f t="shared" si="65"/>
        <v>6.3681596270939558</v>
      </c>
      <c r="AB146" s="24">
        <v>3151.9360960961094</v>
      </c>
      <c r="AC146" s="15">
        <f t="shared" si="66"/>
        <v>9258.823481973699</v>
      </c>
      <c r="AD146" s="24">
        <v>136.19476958439981</v>
      </c>
      <c r="AE146" s="15">
        <f t="shared" si="67"/>
        <v>400.0726195914562</v>
      </c>
      <c r="AF146" s="24">
        <v>384.26381418455657</v>
      </c>
      <c r="AG146" s="15">
        <f t="shared" si="68"/>
        <v>1128.7763195616085</v>
      </c>
      <c r="AH146" s="24">
        <v>16.343372350127975</v>
      </c>
      <c r="AI146" s="15">
        <f t="shared" si="69"/>
        <v>48.008714350974742</v>
      </c>
    </row>
    <row r="147" spans="1:35" x14ac:dyDescent="0.45">
      <c r="A147" s="11" t="s">
        <v>2</v>
      </c>
      <c r="B147" s="11" t="s">
        <v>3</v>
      </c>
      <c r="C147" s="10" t="s">
        <v>6</v>
      </c>
      <c r="D147" t="s">
        <v>65</v>
      </c>
      <c r="E147" t="s">
        <v>56</v>
      </c>
      <c r="F147" t="s">
        <v>49</v>
      </c>
      <c r="G147" s="12">
        <v>1.4687517766368094</v>
      </c>
      <c r="H147" s="25">
        <v>0.11117951440345634</v>
      </c>
      <c r="I147" s="19">
        <f t="shared" si="56"/>
        <v>3265.9021861138849</v>
      </c>
      <c r="J147" s="15">
        <v>82.970490853099761</v>
      </c>
      <c r="K147" s="15">
        <f t="shared" si="57"/>
        <v>243.72611169783681</v>
      </c>
      <c r="L147" s="26">
        <v>33602.063397751801</v>
      </c>
      <c r="M147" s="15">
        <f t="shared" si="58"/>
        <v>98706.180628221307</v>
      </c>
      <c r="N147" s="15">
        <v>113.32074166397234</v>
      </c>
      <c r="O147" s="15">
        <f t="shared" si="59"/>
        <v>332.88008129752058</v>
      </c>
      <c r="P147" s="27">
        <v>3.5786966128853481</v>
      </c>
      <c r="Q147" s="19">
        <f t="shared" si="60"/>
        <v>105.12434016438974</v>
      </c>
      <c r="R147" s="27">
        <v>0.90495776417790408</v>
      </c>
      <c r="S147" s="19">
        <f t="shared" si="61"/>
        <v>26.583166478351426</v>
      </c>
      <c r="T147" s="27">
        <v>8.8720577123253221</v>
      </c>
      <c r="U147" s="15">
        <f t="shared" si="62"/>
        <v>26.061701054804246</v>
      </c>
      <c r="V147" s="27">
        <v>7.0550711431591413</v>
      </c>
      <c r="W147" s="15">
        <f t="shared" si="63"/>
        <v>20.72429655162815</v>
      </c>
      <c r="X147" s="27">
        <v>13.557204925315972</v>
      </c>
      <c r="Y147" s="15">
        <f t="shared" si="64"/>
        <v>39.824337640574271</v>
      </c>
      <c r="Z147" s="27">
        <v>3.8910406885347948</v>
      </c>
      <c r="AA147" s="15">
        <f t="shared" si="65"/>
        <v>11.429945848503188</v>
      </c>
      <c r="AB147" s="24">
        <v>3347.4203011682675</v>
      </c>
      <c r="AC147" s="15">
        <f t="shared" si="66"/>
        <v>9833.059028982032</v>
      </c>
      <c r="AD147" s="24">
        <v>154.25416434850635</v>
      </c>
      <c r="AE147" s="15">
        <f t="shared" si="67"/>
        <v>453.12215588099014</v>
      </c>
      <c r="AF147" s="24">
        <v>557.20381815684959</v>
      </c>
      <c r="AG147" s="15">
        <f t="shared" si="68"/>
        <v>1636.788195733373</v>
      </c>
      <c r="AH147" s="24">
        <v>14.061263961020309</v>
      </c>
      <c r="AI147" s="15">
        <f t="shared" si="69"/>
        <v>41.305012849015434</v>
      </c>
    </row>
    <row r="148" spans="1:35" x14ac:dyDescent="0.45">
      <c r="A148" s="11" t="s">
        <v>2</v>
      </c>
      <c r="B148" s="11" t="s">
        <v>3</v>
      </c>
      <c r="C148" s="10" t="s">
        <v>6</v>
      </c>
      <c r="D148" t="s">
        <v>65</v>
      </c>
      <c r="E148" t="s">
        <v>57</v>
      </c>
      <c r="F148" t="s">
        <v>49</v>
      </c>
      <c r="G148" s="12">
        <v>1.4687517766368094</v>
      </c>
      <c r="H148" s="25">
        <v>0.1236528027161716</v>
      </c>
      <c r="I148" s="19">
        <f t="shared" si="56"/>
        <v>3632.3054735099586</v>
      </c>
      <c r="J148" s="15">
        <v>131.04852210219735</v>
      </c>
      <c r="K148" s="15">
        <f t="shared" si="57"/>
        <v>384.95549932646105</v>
      </c>
      <c r="L148" s="26">
        <v>34112.630562480379</v>
      </c>
      <c r="M148" s="15">
        <f t="shared" si="58"/>
        <v>100205.97348879636</v>
      </c>
      <c r="N148" s="15">
        <v>125.04629971583718</v>
      </c>
      <c r="O148" s="15">
        <f t="shared" si="59"/>
        <v>367.3239497389896</v>
      </c>
      <c r="P148" s="27">
        <v>3.4361282628539325</v>
      </c>
      <c r="Q148" s="19">
        <f t="shared" si="60"/>
        <v>100.93638981637334</v>
      </c>
      <c r="R148" s="27">
        <v>1.3168395737883336</v>
      </c>
      <c r="S148" s="19">
        <f t="shared" si="61"/>
        <v>38.682209270945478</v>
      </c>
      <c r="T148" s="27">
        <v>13.022662360256417</v>
      </c>
      <c r="U148" s="15">
        <f t="shared" si="62"/>
        <v>38.254116956335835</v>
      </c>
      <c r="V148" s="27">
        <v>120.34063247645619</v>
      </c>
      <c r="W148" s="15">
        <f t="shared" si="63"/>
        <v>353.5010355027847</v>
      </c>
      <c r="X148" s="27">
        <v>18.7677431827648</v>
      </c>
      <c r="Y148" s="15">
        <f t="shared" si="64"/>
        <v>55.130312286298334</v>
      </c>
      <c r="Z148" s="27">
        <v>5.6477903476572457</v>
      </c>
      <c r="AA148" s="15">
        <f t="shared" si="65"/>
        <v>16.590404214387604</v>
      </c>
      <c r="AB148" s="24">
        <v>3621.3088279179174</v>
      </c>
      <c r="AC148" s="15">
        <f t="shared" si="66"/>
        <v>10637.607549510007</v>
      </c>
      <c r="AD148" s="24">
        <v>228.38936357891413</v>
      </c>
      <c r="AE148" s="15">
        <f t="shared" si="67"/>
        <v>670.8945670429606</v>
      </c>
      <c r="AF148" s="24">
        <v>636.81538763670198</v>
      </c>
      <c r="AG148" s="15">
        <f t="shared" si="68"/>
        <v>1870.6474639621288</v>
      </c>
      <c r="AH148" s="24">
        <v>19.443959331718361</v>
      </c>
      <c r="AI148" s="15">
        <f t="shared" si="69"/>
        <v>57.116699626630421</v>
      </c>
    </row>
    <row r="149" spans="1:35" x14ac:dyDescent="0.45">
      <c r="A149" s="11" t="s">
        <v>2</v>
      </c>
      <c r="B149" s="11" t="s">
        <v>7</v>
      </c>
      <c r="C149" s="10" t="s">
        <v>4</v>
      </c>
      <c r="D149" t="s">
        <v>63</v>
      </c>
      <c r="E149" t="s">
        <v>51</v>
      </c>
      <c r="F149" t="s">
        <v>43</v>
      </c>
      <c r="G149" s="12">
        <v>1.3017103417089302</v>
      </c>
      <c r="H149" s="25">
        <v>0.19357291705927904</v>
      </c>
      <c r="I149" s="19">
        <f t="shared" ref="I149:I180" si="70">G149*0.1*10000*H149/100*1000</f>
        <v>2519.7586801082853</v>
      </c>
      <c r="J149" s="15">
        <v>152.96082170568656</v>
      </c>
      <c r="K149" s="15">
        <f t="shared" ref="K149:K180" si="71">G149*0.1*10000*1000*J149/1000000</f>
        <v>199.110683490588</v>
      </c>
      <c r="L149" s="26">
        <v>26597.64606729455</v>
      </c>
      <c r="M149" s="15">
        <f t="shared" ref="M149:M180" si="72">G149*0.1*10000*1000*L149/1000000</f>
        <v>34622.43095091117</v>
      </c>
      <c r="N149" s="15">
        <v>108.14427521867016</v>
      </c>
      <c r="O149" s="15">
        <f t="shared" ref="O149:O180" si="73">G149*0.1*10000*1000*N149/1000000</f>
        <v>140.77252144875973</v>
      </c>
      <c r="P149" s="27">
        <v>5.1437100044993453</v>
      </c>
      <c r="Q149" s="19">
        <f t="shared" ref="Q149:Q180" si="74">G149*0.1*10000*P149/100</f>
        <v>66.956205076084856</v>
      </c>
      <c r="R149" s="27">
        <v>1.9404414987033456</v>
      </c>
      <c r="S149" s="19">
        <f t="shared" ref="S149:S180" si="75">G149*0.1*10000*R149/100</f>
        <v>25.258927663433205</v>
      </c>
      <c r="T149" s="27">
        <v>28.163478127253665</v>
      </c>
      <c r="U149" s="15">
        <f t="shared" ref="U149:U180" si="76">G149*0.1*10000*1000*T149/1000000</f>
        <v>36.660690736739355</v>
      </c>
      <c r="V149" s="27">
        <v>29.216042521209936</v>
      </c>
      <c r="W149" s="15">
        <f t="shared" ref="W149:W180" si="77">G149*0.1*10000*1000*V149/1000000</f>
        <v>38.030824693666823</v>
      </c>
      <c r="X149" s="27">
        <v>38.254978592473691</v>
      </c>
      <c r="Y149" s="15">
        <f t="shared" ref="Y149:Y180" si="78">G149*0.1*10000*1000*X149/1000000</f>
        <v>49.796901255676737</v>
      </c>
      <c r="Z149" s="27">
        <v>3.0367564252949286</v>
      </c>
      <c r="AA149" s="15">
        <f t="shared" ref="AA149:AA180" si="79">G149*0.1*10000*1000*Z149/1000000</f>
        <v>3.9529772440574509</v>
      </c>
      <c r="AB149" s="24">
        <v>3222.8689249748213</v>
      </c>
      <c r="AC149" s="15">
        <f t="shared" ref="AC149:AC180" si="80">G149*0.1*10000*1000*AB149/1000000</f>
        <v>4195.2418096120673</v>
      </c>
      <c r="AD149" s="24">
        <v>281.87269485734021</v>
      </c>
      <c r="AE149" s="15">
        <f t="shared" ref="AE149:AE180" si="81">G149*0.1*10000*1000*AD149/1000000</f>
        <v>366.91660194116531</v>
      </c>
      <c r="AF149" s="24">
        <v>443.34281475906164</v>
      </c>
      <c r="AG149" s="15">
        <f t="shared" ref="AG149:AG180" si="82">G149*0.1*10000*1000*AF149/1000000</f>
        <v>577.10392689421701</v>
      </c>
      <c r="AH149" s="24">
        <v>4.7974359323401616</v>
      </c>
      <c r="AI149" s="15">
        <f t="shared" ref="AI149:AI180" si="83">G149*0.1*10000*1000*AH149/1000000</f>
        <v>6.2448719668132124</v>
      </c>
    </row>
    <row r="150" spans="1:35" x14ac:dyDescent="0.45">
      <c r="A150" s="11" t="s">
        <v>2</v>
      </c>
      <c r="B150" s="11" t="s">
        <v>7</v>
      </c>
      <c r="C150" s="10" t="s">
        <v>4</v>
      </c>
      <c r="D150" t="s">
        <v>63</v>
      </c>
      <c r="E150" t="s">
        <v>52</v>
      </c>
      <c r="F150" t="s">
        <v>43</v>
      </c>
      <c r="G150" s="12">
        <v>1.3017103417089302</v>
      </c>
      <c r="H150" s="25">
        <v>0.19418113940473331</v>
      </c>
      <c r="I150" s="19">
        <f t="shared" si="70"/>
        <v>2527.6759732796477</v>
      </c>
      <c r="J150" s="15">
        <v>206.0558143472046</v>
      </c>
      <c r="K150" s="15">
        <f t="shared" si="71"/>
        <v>268.22498450501161</v>
      </c>
      <c r="L150" s="26">
        <v>28711.09451093751</v>
      </c>
      <c r="M150" s="15">
        <f t="shared" si="72"/>
        <v>37373.528646669853</v>
      </c>
      <c r="N150" s="15">
        <v>116.21157302046137</v>
      </c>
      <c r="O150" s="15">
        <f t="shared" si="73"/>
        <v>151.27380642699706</v>
      </c>
      <c r="P150" s="27">
        <v>4.7931609777465356</v>
      </c>
      <c r="Q150" s="19">
        <f t="shared" si="74"/>
        <v>62.393072142083525</v>
      </c>
      <c r="R150" s="27">
        <v>1.7653612166432637</v>
      </c>
      <c r="S150" s="19">
        <f t="shared" si="75"/>
        <v>22.979889525563955</v>
      </c>
      <c r="T150" s="27">
        <v>26.727649002926018</v>
      </c>
      <c r="U150" s="15">
        <f t="shared" si="76"/>
        <v>34.791657116675175</v>
      </c>
      <c r="V150" s="27">
        <v>12.300153989857609</v>
      </c>
      <c r="W150" s="15">
        <f t="shared" si="77"/>
        <v>16.01123765321001</v>
      </c>
      <c r="X150" s="27">
        <v>51.03405414628881</v>
      </c>
      <c r="Y150" s="15">
        <f t="shared" si="78"/>
        <v>66.431556061557657</v>
      </c>
      <c r="Z150" s="27">
        <v>11.736019163131953</v>
      </c>
      <c r="AA150" s="15">
        <f t="shared" si="79"/>
        <v>15.276897515143048</v>
      </c>
      <c r="AB150" s="24">
        <v>3141.505767419214</v>
      </c>
      <c r="AC150" s="15">
        <f t="shared" si="80"/>
        <v>4089.3305459878402</v>
      </c>
      <c r="AD150" s="24">
        <v>339.10552326081842</v>
      </c>
      <c r="AE150" s="15">
        <f t="shared" si="81"/>
        <v>441.41716655922551</v>
      </c>
      <c r="AF150" s="24">
        <v>504.13016959546002</v>
      </c>
      <c r="AG150" s="15">
        <f t="shared" si="82"/>
        <v>656.23145532988713</v>
      </c>
      <c r="AH150" s="24">
        <v>5.5746130530116744</v>
      </c>
      <c r="AI150" s="15">
        <f t="shared" si="83"/>
        <v>7.256531462130889</v>
      </c>
    </row>
    <row r="151" spans="1:35" x14ac:dyDescent="0.45">
      <c r="A151" s="11" t="s">
        <v>2</v>
      </c>
      <c r="B151" s="11" t="s">
        <v>7</v>
      </c>
      <c r="C151" s="10" t="s">
        <v>4</v>
      </c>
      <c r="D151" t="s">
        <v>63</v>
      </c>
      <c r="E151" t="s">
        <v>53</v>
      </c>
      <c r="F151" t="s">
        <v>43</v>
      </c>
      <c r="G151" s="12">
        <v>1.3017103417089302</v>
      </c>
      <c r="H151" s="25">
        <v>0.17087127389742873</v>
      </c>
      <c r="I151" s="19">
        <f t="shared" si="70"/>
        <v>2224.2490433326216</v>
      </c>
      <c r="J151" s="15">
        <v>202.35350514727304</v>
      </c>
      <c r="K151" s="15">
        <f t="shared" si="71"/>
        <v>263.4056503312566</v>
      </c>
      <c r="L151" s="26">
        <v>29597.975379750387</v>
      </c>
      <c r="M151" s="15">
        <f t="shared" si="72"/>
        <v>38527.990645467376</v>
      </c>
      <c r="N151" s="15">
        <v>119.8013289180373</v>
      </c>
      <c r="O151" s="15">
        <f t="shared" si="73"/>
        <v>155.94662880308229</v>
      </c>
      <c r="P151" s="27">
        <v>4.5592278312070658</v>
      </c>
      <c r="Q151" s="19">
        <f t="shared" si="74"/>
        <v>59.347940180894142</v>
      </c>
      <c r="R151" s="27">
        <v>1.8773291069676152</v>
      </c>
      <c r="S151" s="19">
        <f t="shared" si="75"/>
        <v>24.437387133309354</v>
      </c>
      <c r="T151" s="27">
        <v>19.255321598465468</v>
      </c>
      <c r="U151" s="15">
        <f t="shared" si="76"/>
        <v>25.064851257653828</v>
      </c>
      <c r="V151" s="27">
        <v>11.254028791178742</v>
      </c>
      <c r="W151" s="15">
        <f t="shared" si="77"/>
        <v>14.649485663367418</v>
      </c>
      <c r="X151" s="27">
        <v>33.64913535464666</v>
      </c>
      <c r="Y151" s="15">
        <f t="shared" si="78"/>
        <v>43.801427480707147</v>
      </c>
      <c r="Z151" s="27">
        <v>9.7343241733918315</v>
      </c>
      <c r="AA151" s="15">
        <f t="shared" si="79"/>
        <v>12.671270446051382</v>
      </c>
      <c r="AB151" s="24">
        <v>3376.7012239154178</v>
      </c>
      <c r="AC151" s="15">
        <f t="shared" si="80"/>
        <v>4395.4869040319018</v>
      </c>
      <c r="AD151" s="24">
        <v>280.25647045753328</v>
      </c>
      <c r="AE151" s="15">
        <f t="shared" si="81"/>
        <v>364.81274592541433</v>
      </c>
      <c r="AF151" s="24">
        <v>602.35678893476768</v>
      </c>
      <c r="AG151" s="15">
        <f t="shared" si="82"/>
        <v>784.09406155497038</v>
      </c>
      <c r="AH151" s="24">
        <v>9.0110240154054075</v>
      </c>
      <c r="AI151" s="15">
        <f t="shared" si="83"/>
        <v>11.729743150240749</v>
      </c>
    </row>
    <row r="152" spans="1:35" x14ac:dyDescent="0.45">
      <c r="A152" s="11" t="s">
        <v>2</v>
      </c>
      <c r="B152" s="11" t="s">
        <v>7</v>
      </c>
      <c r="C152" s="10" t="s">
        <v>4</v>
      </c>
      <c r="D152" t="s">
        <v>63</v>
      </c>
      <c r="E152" t="s">
        <v>54</v>
      </c>
      <c r="F152" t="s">
        <v>43</v>
      </c>
      <c r="G152" s="12">
        <v>1.3017103417089302</v>
      </c>
      <c r="H152" s="25">
        <v>0.1909437391368512</v>
      </c>
      <c r="I152" s="19">
        <f t="shared" si="70"/>
        <v>2485.5343991901136</v>
      </c>
      <c r="J152" s="15">
        <v>200.89141328183527</v>
      </c>
      <c r="K152" s="15">
        <f t="shared" si="71"/>
        <v>261.50243022948774</v>
      </c>
      <c r="L152" s="26">
        <v>30672.688954738755</v>
      </c>
      <c r="M152" s="15">
        <f t="shared" si="72"/>
        <v>39926.95642040472</v>
      </c>
      <c r="N152" s="15">
        <v>121.51480608267109</v>
      </c>
      <c r="O152" s="15">
        <f t="shared" si="73"/>
        <v>158.17707974856819</v>
      </c>
      <c r="P152" s="27">
        <v>5.2294053590975675</v>
      </c>
      <c r="Q152" s="19">
        <f t="shared" si="74"/>
        <v>68.071710369254049</v>
      </c>
      <c r="R152" s="27">
        <v>1.8492985552800829</v>
      </c>
      <c r="S152" s="19">
        <f t="shared" si="75"/>
        <v>24.072510543154678</v>
      </c>
      <c r="T152" s="27">
        <v>20.65061145033102</v>
      </c>
      <c r="U152" s="15">
        <f t="shared" si="76"/>
        <v>26.881114487508739</v>
      </c>
      <c r="V152" s="27">
        <v>12.250393470576187</v>
      </c>
      <c r="W152" s="15">
        <f t="shared" si="77"/>
        <v>15.946463870652575</v>
      </c>
      <c r="X152" s="27">
        <v>34.156017824967634</v>
      </c>
      <c r="Y152" s="15">
        <f t="shared" si="78"/>
        <v>44.461241634354927</v>
      </c>
      <c r="Z152" s="27">
        <v>11.463670954117166</v>
      </c>
      <c r="AA152" s="15">
        <f t="shared" si="79"/>
        <v>14.922379034922594</v>
      </c>
      <c r="AB152" s="24">
        <v>3752.0212910460345</v>
      </c>
      <c r="AC152" s="15">
        <f t="shared" si="80"/>
        <v>4884.0449168667155</v>
      </c>
      <c r="AD152" s="24">
        <v>291.77821649974641</v>
      </c>
      <c r="AE152" s="15">
        <f t="shared" si="81"/>
        <v>379.81072190310709</v>
      </c>
      <c r="AF152" s="24">
        <v>570.20038787802548</v>
      </c>
      <c r="AG152" s="15">
        <f t="shared" si="82"/>
        <v>742.23574174726912</v>
      </c>
      <c r="AH152" s="24">
        <v>6.6882964415962993</v>
      </c>
      <c r="AI152" s="15">
        <f t="shared" si="83"/>
        <v>8.7062246464409405</v>
      </c>
    </row>
    <row r="153" spans="1:35" x14ac:dyDescent="0.45">
      <c r="A153" s="11" t="s">
        <v>2</v>
      </c>
      <c r="B153" s="11" t="s">
        <v>7</v>
      </c>
      <c r="C153" s="10" t="s">
        <v>4</v>
      </c>
      <c r="D153" t="s">
        <v>63</v>
      </c>
      <c r="E153" t="s">
        <v>55</v>
      </c>
      <c r="F153" t="s">
        <v>43</v>
      </c>
      <c r="G153" s="12">
        <v>1.3017103417089302</v>
      </c>
      <c r="H153" s="25">
        <v>0.19747652107217881</v>
      </c>
      <c r="I153" s="19">
        <f t="shared" si="70"/>
        <v>2570.572297243566</v>
      </c>
      <c r="J153" s="15">
        <v>154.60493413372458</v>
      </c>
      <c r="K153" s="15">
        <f t="shared" si="71"/>
        <v>201.25084164109728</v>
      </c>
      <c r="L153" s="26">
        <v>31410.242947421255</v>
      </c>
      <c r="M153" s="15">
        <f t="shared" si="72"/>
        <v>40887.03808024824</v>
      </c>
      <c r="N153" s="15">
        <v>122.31403016908588</v>
      </c>
      <c r="O153" s="15">
        <f t="shared" si="73"/>
        <v>159.21743800719716</v>
      </c>
      <c r="P153" s="27">
        <v>5.1168166422366435</v>
      </c>
      <c r="Q153" s="19">
        <f t="shared" si="74"/>
        <v>66.606131398278023</v>
      </c>
      <c r="R153" s="27">
        <v>2.0053786436240584</v>
      </c>
      <c r="S153" s="19">
        <f t="shared" si="75"/>
        <v>26.10422119447664</v>
      </c>
      <c r="T153" s="27">
        <v>19.336841992350301</v>
      </c>
      <c r="U153" s="15">
        <f t="shared" si="76"/>
        <v>25.1709671974339</v>
      </c>
      <c r="V153" s="27">
        <v>10.848796840936926</v>
      </c>
      <c r="W153" s="15">
        <f t="shared" si="77"/>
        <v>14.121991042946767</v>
      </c>
      <c r="X153" s="27">
        <v>47.665241110933799</v>
      </c>
      <c r="Y153" s="15">
        <f t="shared" si="78"/>
        <v>62.046337294152188</v>
      </c>
      <c r="Z153" s="27">
        <v>17.315170099235484</v>
      </c>
      <c r="AA153" s="15">
        <f t="shared" si="79"/>
        <v>22.539335986624074</v>
      </c>
      <c r="AB153" s="24">
        <v>3714.0852920315679</v>
      </c>
      <c r="AC153" s="15">
        <f t="shared" si="80"/>
        <v>4834.6632346265242</v>
      </c>
      <c r="AD153" s="24">
        <v>383.50282308480706</v>
      </c>
      <c r="AE153" s="15">
        <f t="shared" si="81"/>
        <v>499.20959088406363</v>
      </c>
      <c r="AF153" s="24">
        <v>584.04068744721292</v>
      </c>
      <c r="AG153" s="15">
        <f t="shared" si="82"/>
        <v>760.25180282883002</v>
      </c>
      <c r="AH153" s="24">
        <v>4.0624423038363666</v>
      </c>
      <c r="AI153" s="15">
        <f t="shared" si="83"/>
        <v>5.2881231594996505</v>
      </c>
    </row>
    <row r="154" spans="1:35" x14ac:dyDescent="0.45">
      <c r="A154" s="11" t="s">
        <v>2</v>
      </c>
      <c r="B154" s="11" t="s">
        <v>7</v>
      </c>
      <c r="C154" s="10" t="s">
        <v>4</v>
      </c>
      <c r="D154" t="s">
        <v>63</v>
      </c>
      <c r="E154" t="s">
        <v>56</v>
      </c>
      <c r="F154" t="s">
        <v>43</v>
      </c>
      <c r="G154" s="12">
        <v>1.3017103417089302</v>
      </c>
      <c r="H154" s="25">
        <v>0.20676374626690186</v>
      </c>
      <c r="I154" s="19">
        <f t="shared" si="70"/>
        <v>2691.4650680610735</v>
      </c>
      <c r="J154" s="15">
        <v>170.05556965805798</v>
      </c>
      <c r="K154" s="15">
        <f t="shared" si="71"/>
        <v>221.36309368909744</v>
      </c>
      <c r="L154" s="26">
        <v>30834.251641296232</v>
      </c>
      <c r="M154" s="15">
        <f t="shared" si="72"/>
        <v>40137.264240330864</v>
      </c>
      <c r="N154" s="15">
        <v>127.07449161261475</v>
      </c>
      <c r="O154" s="15">
        <f t="shared" si="73"/>
        <v>165.41417989954533</v>
      </c>
      <c r="P154" s="27">
        <v>4.8083941130400136</v>
      </c>
      <c r="Q154" s="19">
        <f t="shared" si="74"/>
        <v>62.591363439565249</v>
      </c>
      <c r="R154" s="27">
        <v>2.2192588214030833</v>
      </c>
      <c r="S154" s="19">
        <f t="shared" si="75"/>
        <v>28.888321587491649</v>
      </c>
      <c r="T154" s="27">
        <v>24.058757832792356</v>
      </c>
      <c r="U154" s="15">
        <f t="shared" si="76"/>
        <v>31.317533879616541</v>
      </c>
      <c r="V154" s="27">
        <v>6.2504034697638673</v>
      </c>
      <c r="W154" s="15">
        <f t="shared" si="77"/>
        <v>8.1362148364450064</v>
      </c>
      <c r="X154" s="27">
        <v>46.209743891241665</v>
      </c>
      <c r="Y154" s="15">
        <f t="shared" si="78"/>
        <v>60.151701510950332</v>
      </c>
      <c r="Z154" s="27">
        <v>18.141894347773739</v>
      </c>
      <c r="AA154" s="15">
        <f t="shared" si="79"/>
        <v>23.615491490687862</v>
      </c>
      <c r="AB154" s="24">
        <v>3721.9323461712024</v>
      </c>
      <c r="AC154" s="15">
        <f t="shared" si="80"/>
        <v>4844.8778261520365</v>
      </c>
      <c r="AD154" s="24">
        <v>365.64585701221824</v>
      </c>
      <c r="AE154" s="15">
        <f t="shared" si="81"/>
        <v>475.96499347582926</v>
      </c>
      <c r="AF154" s="24">
        <v>652.72318276561271</v>
      </c>
      <c r="AG154" s="15">
        <f t="shared" si="82"/>
        <v>849.65651727916622</v>
      </c>
      <c r="AH154" s="24">
        <v>8.0381651210950462</v>
      </c>
      <c r="AI154" s="15">
        <f t="shared" si="83"/>
        <v>10.463362666493436</v>
      </c>
    </row>
    <row r="155" spans="1:35" x14ac:dyDescent="0.45">
      <c r="A155" s="11" t="s">
        <v>2</v>
      </c>
      <c r="B155" s="11" t="s">
        <v>7</v>
      </c>
      <c r="C155" s="10" t="s">
        <v>4</v>
      </c>
      <c r="D155" t="s">
        <v>63</v>
      </c>
      <c r="E155" t="s">
        <v>57</v>
      </c>
      <c r="F155" t="s">
        <v>43</v>
      </c>
      <c r="G155" s="12">
        <v>1.3017103417089302</v>
      </c>
      <c r="H155" s="25">
        <v>0.19255393731602133</v>
      </c>
      <c r="I155" s="19">
        <f t="shared" si="70"/>
        <v>2506.4945154103807</v>
      </c>
      <c r="J155" s="15">
        <v>109.72667564901776</v>
      </c>
      <c r="K155" s="15">
        <f t="shared" si="71"/>
        <v>142.83234845366789</v>
      </c>
      <c r="L155" s="26">
        <v>29782.954819019109</v>
      </c>
      <c r="M155" s="15">
        <f t="shared" si="72"/>
        <v>38768.780294566997</v>
      </c>
      <c r="N155" s="15">
        <v>116.18118598131292</v>
      </c>
      <c r="O155" s="15">
        <f t="shared" si="73"/>
        <v>151.23425130388361</v>
      </c>
      <c r="P155" s="27">
        <v>4.7901392331346768</v>
      </c>
      <c r="Q155" s="19">
        <f t="shared" si="74"/>
        <v>62.353737779970928</v>
      </c>
      <c r="R155" s="27">
        <v>1.8399891045731913</v>
      </c>
      <c r="S155" s="19">
        <f t="shared" si="75"/>
        <v>23.951328460546776</v>
      </c>
      <c r="T155" s="27">
        <v>28.729716625360847</v>
      </c>
      <c r="U155" s="15">
        <f t="shared" si="76"/>
        <v>37.3977692455992</v>
      </c>
      <c r="V155" s="27">
        <v>11.034953533224027</v>
      </c>
      <c r="W155" s="15">
        <f t="shared" si="77"/>
        <v>14.364313134475214</v>
      </c>
      <c r="X155" s="27">
        <v>38.645617858970219</v>
      </c>
      <c r="Y155" s="15">
        <f t="shared" si="78"/>
        <v>50.305400428752861</v>
      </c>
      <c r="Z155" s="27">
        <v>7.2635137180715095</v>
      </c>
      <c r="AA155" s="15">
        <f t="shared" si="79"/>
        <v>9.4549909239583663</v>
      </c>
      <c r="AB155" s="24">
        <v>3498.8303411510879</v>
      </c>
      <c r="AC155" s="15">
        <f t="shared" si="80"/>
        <v>4554.4636389613552</v>
      </c>
      <c r="AD155" s="24">
        <v>285.10424620244453</v>
      </c>
      <c r="AE155" s="15">
        <f t="shared" si="81"/>
        <v>371.12314574685104</v>
      </c>
      <c r="AF155" s="24">
        <v>483.90142467693818</v>
      </c>
      <c r="AG155" s="15">
        <f t="shared" si="82"/>
        <v>629.89948886965533</v>
      </c>
      <c r="AH155" s="24">
        <v>6.9627499582773851</v>
      </c>
      <c r="AI155" s="15">
        <f t="shared" si="83"/>
        <v>9.0634836274230945</v>
      </c>
    </row>
    <row r="156" spans="1:35" x14ac:dyDescent="0.45">
      <c r="A156" s="11" t="s">
        <v>2</v>
      </c>
      <c r="B156" s="11" t="s">
        <v>7</v>
      </c>
      <c r="C156" s="10" t="s">
        <v>4</v>
      </c>
      <c r="D156" t="s">
        <v>63</v>
      </c>
      <c r="E156" t="s">
        <v>51</v>
      </c>
      <c r="F156" t="s">
        <v>44</v>
      </c>
      <c r="G156" s="12">
        <v>1.3017103417089302</v>
      </c>
      <c r="H156" s="25">
        <v>0.17587091969822866</v>
      </c>
      <c r="I156" s="19">
        <f t="shared" si="70"/>
        <v>2289.3299497704502</v>
      </c>
      <c r="J156" s="15">
        <v>171.11666757058038</v>
      </c>
      <c r="K156" s="15">
        <f t="shared" si="71"/>
        <v>222.74433581539358</v>
      </c>
      <c r="L156" s="26">
        <v>29616.34631029276</v>
      </c>
      <c r="M156" s="15">
        <f t="shared" si="72"/>
        <v>38551.904275741203</v>
      </c>
      <c r="N156" s="15">
        <v>125.0467955323472</v>
      </c>
      <c r="O156" s="15">
        <f t="shared" si="73"/>
        <v>162.77470694201841</v>
      </c>
      <c r="P156" s="27">
        <v>5.0523606402419112</v>
      </c>
      <c r="Q156" s="19">
        <f t="shared" si="74"/>
        <v>65.767100954460474</v>
      </c>
      <c r="R156" s="27">
        <v>1.9266608526683149</v>
      </c>
      <c r="S156" s="19">
        <f t="shared" si="75"/>
        <v>25.079543568840908</v>
      </c>
      <c r="T156" s="27">
        <v>20.34463944552164</v>
      </c>
      <c r="U156" s="15">
        <f t="shared" si="76"/>
        <v>26.482827564574954</v>
      </c>
      <c r="V156" s="27">
        <v>5.6216641760307686</v>
      </c>
      <c r="W156" s="15">
        <f t="shared" si="77"/>
        <v>7.317778395553864</v>
      </c>
      <c r="X156" s="27">
        <v>40.212008271329658</v>
      </c>
      <c r="Y156" s="15">
        <f t="shared" si="78"/>
        <v>52.344387027674856</v>
      </c>
      <c r="Z156" s="27">
        <v>12.748956670511518</v>
      </c>
      <c r="AA156" s="15">
        <f t="shared" si="79"/>
        <v>16.595448744003892</v>
      </c>
      <c r="AB156" s="24">
        <v>2955.9012455935458</v>
      </c>
      <c r="AC156" s="15">
        <f t="shared" si="80"/>
        <v>3847.7272204594269</v>
      </c>
      <c r="AD156" s="24">
        <v>294.38445443878612</v>
      </c>
      <c r="AE156" s="15">
        <f t="shared" si="81"/>
        <v>383.20328878130931</v>
      </c>
      <c r="AF156" s="24">
        <v>444.08849440936342</v>
      </c>
      <c r="AG156" s="15">
        <f t="shared" si="82"/>
        <v>578.07458580661682</v>
      </c>
      <c r="AH156" s="24">
        <v>5.4255155425578332</v>
      </c>
      <c r="AI156" s="15">
        <f t="shared" si="83"/>
        <v>7.0624496908500687</v>
      </c>
    </row>
    <row r="157" spans="1:35" x14ac:dyDescent="0.45">
      <c r="A157" s="11" t="s">
        <v>2</v>
      </c>
      <c r="B157" s="11" t="s">
        <v>7</v>
      </c>
      <c r="C157" s="10" t="s">
        <v>4</v>
      </c>
      <c r="D157" t="s">
        <v>63</v>
      </c>
      <c r="E157" t="s">
        <v>52</v>
      </c>
      <c r="F157" t="s">
        <v>44</v>
      </c>
      <c r="G157" s="12">
        <v>1.3017103417089302</v>
      </c>
      <c r="H157" s="25">
        <v>0.21331045236469531</v>
      </c>
      <c r="I157" s="19">
        <f t="shared" si="70"/>
        <v>2776.6842183773401</v>
      </c>
      <c r="J157" s="15">
        <v>157.05735205638101</v>
      </c>
      <c r="K157" s="15">
        <f t="shared" si="71"/>
        <v>204.44317941321145</v>
      </c>
      <c r="L157" s="26">
        <v>28331.914488602069</v>
      </c>
      <c r="M157" s="15">
        <f t="shared" si="72"/>
        <v>36879.946090226389</v>
      </c>
      <c r="N157" s="15">
        <v>113.94356913894312</v>
      </c>
      <c r="O157" s="15">
        <f t="shared" si="73"/>
        <v>148.32152231938875</v>
      </c>
      <c r="P157" s="27">
        <v>4.8797103372733046</v>
      </c>
      <c r="Q157" s="19">
        <f t="shared" si="74"/>
        <v>63.519694105726323</v>
      </c>
      <c r="R157" s="27">
        <v>2.0633024681916723</v>
      </c>
      <c r="S157" s="19">
        <f t="shared" si="75"/>
        <v>26.858221609186607</v>
      </c>
      <c r="T157" s="27">
        <v>35.755335027785677</v>
      </c>
      <c r="U157" s="15">
        <f t="shared" si="76"/>
        <v>46.543089376936173</v>
      </c>
      <c r="V157" s="27">
        <v>7.4133086938760249</v>
      </c>
      <c r="W157" s="15">
        <f t="shared" si="77"/>
        <v>9.6499805930991442</v>
      </c>
      <c r="X157" s="27">
        <v>47.252142118029731</v>
      </c>
      <c r="Y157" s="15">
        <f t="shared" si="78"/>
        <v>61.50860206293941</v>
      </c>
      <c r="Z157" s="27">
        <v>20.032361858382444</v>
      </c>
      <c r="AA157" s="15">
        <f t="shared" si="79"/>
        <v>26.07633259991195</v>
      </c>
      <c r="AB157" s="24">
        <v>3473.2258214559815</v>
      </c>
      <c r="AC157" s="15">
        <f t="shared" si="80"/>
        <v>4521.1339708797459</v>
      </c>
      <c r="AD157" s="24">
        <v>349.25692820952781</v>
      </c>
      <c r="AE157" s="15">
        <f t="shared" si="81"/>
        <v>454.63135536383578</v>
      </c>
      <c r="AF157" s="24">
        <v>551.28862821996233</v>
      </c>
      <c r="AG157" s="15">
        <f t="shared" si="82"/>
        <v>717.61810862045456</v>
      </c>
      <c r="AH157" s="24">
        <v>6.1684146705313534</v>
      </c>
      <c r="AI157" s="15">
        <f t="shared" si="83"/>
        <v>8.0294891685797456</v>
      </c>
    </row>
    <row r="158" spans="1:35" x14ac:dyDescent="0.45">
      <c r="A158" s="11" t="s">
        <v>2</v>
      </c>
      <c r="B158" s="11" t="s">
        <v>7</v>
      </c>
      <c r="C158" s="10" t="s">
        <v>4</v>
      </c>
      <c r="D158" t="s">
        <v>63</v>
      </c>
      <c r="E158" t="s">
        <v>53</v>
      </c>
      <c r="F158" t="s">
        <v>44</v>
      </c>
      <c r="G158" s="12">
        <v>1.3017103417089302</v>
      </c>
      <c r="H158" s="25">
        <v>0.16089028108385001</v>
      </c>
      <c r="I158" s="19">
        <f t="shared" si="70"/>
        <v>2094.3254276730422</v>
      </c>
      <c r="J158" s="15">
        <v>117.69408775033476</v>
      </c>
      <c r="K158" s="15">
        <f t="shared" si="71"/>
        <v>153.20361118260908</v>
      </c>
      <c r="L158" s="26">
        <v>28713.29899426271</v>
      </c>
      <c r="M158" s="15">
        <f t="shared" si="72"/>
        <v>37376.398245412391</v>
      </c>
      <c r="N158" s="15">
        <v>110.59185831712493</v>
      </c>
      <c r="O158" s="15">
        <f t="shared" si="73"/>
        <v>143.95856568021028</v>
      </c>
      <c r="P158" s="27">
        <v>4.6045173861386148</v>
      </c>
      <c r="Q158" s="19">
        <f t="shared" si="74"/>
        <v>59.937479001152063</v>
      </c>
      <c r="R158" s="27">
        <v>1.9322528316831684</v>
      </c>
      <c r="S158" s="19">
        <f t="shared" si="75"/>
        <v>25.152334937983451</v>
      </c>
      <c r="T158" s="27">
        <v>18.122239205915914</v>
      </c>
      <c r="U158" s="15">
        <f t="shared" si="76"/>
        <v>23.589906189263775</v>
      </c>
      <c r="V158" s="27">
        <v>6.180866333020691</v>
      </c>
      <c r="W158" s="15">
        <f t="shared" si="77"/>
        <v>8.0456976264135864</v>
      </c>
      <c r="X158" s="27">
        <v>23.51329571024538</v>
      </c>
      <c r="Y158" s="15">
        <f t="shared" si="78"/>
        <v>30.607500193686636</v>
      </c>
      <c r="Z158" s="27">
        <v>6.9109686668564683</v>
      </c>
      <c r="AA158" s="15">
        <f t="shared" si="79"/>
        <v>8.9960793848734415</v>
      </c>
      <c r="AB158" s="24">
        <v>3169.0316831683167</v>
      </c>
      <c r="AC158" s="15">
        <f t="shared" si="80"/>
        <v>4125.1613151834563</v>
      </c>
      <c r="AD158" s="24">
        <v>202.70382838283828</v>
      </c>
      <c r="AE158" s="15">
        <f t="shared" si="81"/>
        <v>263.86166970993276</v>
      </c>
      <c r="AF158" s="24">
        <v>560.52842684268421</v>
      </c>
      <c r="AG158" s="15">
        <f t="shared" si="82"/>
        <v>729.64565004295957</v>
      </c>
      <c r="AH158" s="24">
        <v>10.753771177117713</v>
      </c>
      <c r="AI158" s="15">
        <f t="shared" si="83"/>
        <v>13.998295153625543</v>
      </c>
    </row>
    <row r="159" spans="1:35" x14ac:dyDescent="0.45">
      <c r="A159" s="11" t="s">
        <v>2</v>
      </c>
      <c r="B159" s="11" t="s">
        <v>7</v>
      </c>
      <c r="C159" s="10" t="s">
        <v>4</v>
      </c>
      <c r="D159" t="s">
        <v>63</v>
      </c>
      <c r="E159" t="s">
        <v>54</v>
      </c>
      <c r="F159" t="s">
        <v>44</v>
      </c>
      <c r="G159" s="12">
        <v>1.3017103417089302</v>
      </c>
      <c r="H159" s="25">
        <v>0.17976673509805008</v>
      </c>
      <c r="I159" s="19">
        <f t="shared" si="70"/>
        <v>2340.0421817238152</v>
      </c>
      <c r="J159" s="15">
        <v>158.29249234931928</v>
      </c>
      <c r="K159" s="15">
        <f t="shared" si="71"/>
        <v>206.05097430599059</v>
      </c>
      <c r="L159" s="26">
        <v>30991.000008149866</v>
      </c>
      <c r="M159" s="15">
        <f t="shared" si="72"/>
        <v>40341.305210510225</v>
      </c>
      <c r="N159" s="15">
        <v>128.73184618769943</v>
      </c>
      <c r="O159" s="15">
        <f t="shared" si="73"/>
        <v>167.57157548981166</v>
      </c>
      <c r="P159" s="27">
        <v>4.511381803278689</v>
      </c>
      <c r="Q159" s="19">
        <f t="shared" si="74"/>
        <v>58.725123487253519</v>
      </c>
      <c r="R159" s="27">
        <v>1.8822998907103827</v>
      </c>
      <c r="S159" s="19">
        <f t="shared" si="75"/>
        <v>24.502092339352945</v>
      </c>
      <c r="T159" s="27">
        <v>11.82382611141489</v>
      </c>
      <c r="U159" s="15">
        <f t="shared" si="76"/>
        <v>15.391196727796849</v>
      </c>
      <c r="V159" s="27">
        <v>8.6348432725385837</v>
      </c>
      <c r="W159" s="15">
        <f t="shared" si="77"/>
        <v>11.240064786899257</v>
      </c>
      <c r="X159" s="27">
        <v>31.210161295075565</v>
      </c>
      <c r="Y159" s="15">
        <f t="shared" si="78"/>
        <v>40.62658972420364</v>
      </c>
      <c r="Z159" s="27">
        <v>12.319043068821712</v>
      </c>
      <c r="AA159" s="15">
        <f t="shared" si="79"/>
        <v>16.03582576264294</v>
      </c>
      <c r="AB159" s="24">
        <v>3360.7085407812187</v>
      </c>
      <c r="AC159" s="15">
        <f t="shared" si="80"/>
        <v>4374.6690630044404</v>
      </c>
      <c r="AD159" s="24">
        <v>286.05805504958511</v>
      </c>
      <c r="AE159" s="15">
        <f t="shared" si="81"/>
        <v>372.36472858718741</v>
      </c>
      <c r="AF159" s="24">
        <v>586.32429164136829</v>
      </c>
      <c r="AG159" s="15">
        <f t="shared" si="82"/>
        <v>763.22439402473196</v>
      </c>
      <c r="AH159" s="24">
        <v>11.177102813195711</v>
      </c>
      <c r="AI159" s="15">
        <f t="shared" si="83"/>
        <v>14.549350322280835</v>
      </c>
    </row>
    <row r="160" spans="1:35" x14ac:dyDescent="0.45">
      <c r="A160" s="11" t="s">
        <v>2</v>
      </c>
      <c r="B160" s="11" t="s">
        <v>7</v>
      </c>
      <c r="C160" s="10" t="s">
        <v>4</v>
      </c>
      <c r="D160" t="s">
        <v>63</v>
      </c>
      <c r="E160" t="s">
        <v>55</v>
      </c>
      <c r="F160" t="s">
        <v>44</v>
      </c>
      <c r="G160" s="12">
        <v>1.3017103417089302</v>
      </c>
      <c r="H160" s="25">
        <v>0.18513853819154691</v>
      </c>
      <c r="I160" s="19">
        <f t="shared" si="70"/>
        <v>2409.9674981281037</v>
      </c>
      <c r="J160" s="15">
        <v>130.06395285637493</v>
      </c>
      <c r="K160" s="15">
        <f t="shared" si="71"/>
        <v>169.305592516686</v>
      </c>
      <c r="L160" s="26">
        <v>31255.678593392429</v>
      </c>
      <c r="M160" s="15">
        <f t="shared" si="72"/>
        <v>40685.840062149357</v>
      </c>
      <c r="N160" s="15">
        <v>121.99797128388656</v>
      </c>
      <c r="O160" s="15">
        <f t="shared" si="73"/>
        <v>158.80602088774421</v>
      </c>
      <c r="P160" s="27">
        <v>4.1712477598828137</v>
      </c>
      <c r="Q160" s="19">
        <f t="shared" si="74"/>
        <v>54.297563468696673</v>
      </c>
      <c r="R160" s="27">
        <v>1.8978669856401125</v>
      </c>
      <c r="S160" s="19">
        <f t="shared" si="75"/>
        <v>24.704730823956879</v>
      </c>
      <c r="T160" s="27">
        <v>21.374827195679327</v>
      </c>
      <c r="U160" s="15">
        <f t="shared" si="76"/>
        <v>27.823833612857069</v>
      </c>
      <c r="V160" s="27">
        <v>7.5069187014981775</v>
      </c>
      <c r="W160" s="15">
        <f t="shared" si="77"/>
        <v>9.7718337081083515</v>
      </c>
      <c r="X160" s="27">
        <v>41.273371791679018</v>
      </c>
      <c r="Y160" s="15">
        <f t="shared" si="78"/>
        <v>53.725974898426209</v>
      </c>
      <c r="Z160" s="27">
        <v>17.313871164211569</v>
      </c>
      <c r="AA160" s="15">
        <f t="shared" si="79"/>
        <v>22.537645149470237</v>
      </c>
      <c r="AB160" s="24">
        <v>3659.8613594085764</v>
      </c>
      <c r="AC160" s="15">
        <f t="shared" si="80"/>
        <v>4764.079380763048</v>
      </c>
      <c r="AD160" s="24">
        <v>354.18013155566871</v>
      </c>
      <c r="AE160" s="15">
        <f t="shared" si="81"/>
        <v>461.03994007384335</v>
      </c>
      <c r="AF160" s="24">
        <v>586.15776158043411</v>
      </c>
      <c r="AG160" s="15">
        <f t="shared" si="82"/>
        <v>763.00762012220844</v>
      </c>
      <c r="AH160" s="24">
        <v>8.6680926933361011</v>
      </c>
      <c r="AI160" s="15">
        <f t="shared" si="83"/>
        <v>11.283345901807216</v>
      </c>
    </row>
    <row r="161" spans="1:35" x14ac:dyDescent="0.45">
      <c r="A161" s="11" t="s">
        <v>2</v>
      </c>
      <c r="B161" s="11" t="s">
        <v>7</v>
      </c>
      <c r="C161" s="10" t="s">
        <v>4</v>
      </c>
      <c r="D161" t="s">
        <v>63</v>
      </c>
      <c r="E161" t="s">
        <v>56</v>
      </c>
      <c r="F161" t="s">
        <v>44</v>
      </c>
      <c r="G161" s="12">
        <v>1.3017103417089302</v>
      </c>
      <c r="H161" s="25">
        <v>0.18783818411316361</v>
      </c>
      <c r="I161" s="19">
        <f t="shared" si="70"/>
        <v>2445.1090682793115</v>
      </c>
      <c r="J161" s="15">
        <v>131.24166212452872</v>
      </c>
      <c r="K161" s="15">
        <f t="shared" si="71"/>
        <v>170.83862885056823</v>
      </c>
      <c r="L161" s="26">
        <v>29101.412036308539</v>
      </c>
      <c r="M161" s="15">
        <f t="shared" si="72"/>
        <v>37881.60900599556</v>
      </c>
      <c r="N161" s="15">
        <v>117.92729060464897</v>
      </c>
      <c r="O161" s="15">
        <f t="shared" si="73"/>
        <v>153.50717374978592</v>
      </c>
      <c r="P161" s="27">
        <v>4.5211611370055573</v>
      </c>
      <c r="Q161" s="19">
        <f t="shared" si="74"/>
        <v>58.852422085726396</v>
      </c>
      <c r="R161" s="27">
        <v>2.1221776765536289</v>
      </c>
      <c r="S161" s="19">
        <f t="shared" si="75"/>
        <v>27.624606285136878</v>
      </c>
      <c r="T161" s="27">
        <v>30.761291139918839</v>
      </c>
      <c r="U161" s="15">
        <f t="shared" si="76"/>
        <v>40.042290801151644</v>
      </c>
      <c r="V161" s="27">
        <v>7.1134238101950231</v>
      </c>
      <c r="W161" s="15">
        <f t="shared" si="77"/>
        <v>9.2596173386894041</v>
      </c>
      <c r="X161" s="27">
        <v>24.824985118980198</v>
      </c>
      <c r="Y161" s="15">
        <f t="shared" si="78"/>
        <v>32.314939862146822</v>
      </c>
      <c r="Z161" s="27">
        <v>10.348543680688577</v>
      </c>
      <c r="AA161" s="15">
        <f t="shared" si="79"/>
        <v>13.470806330778917</v>
      </c>
      <c r="AB161" s="24">
        <v>3581.0466783583706</v>
      </c>
      <c r="AC161" s="15">
        <f t="shared" si="80"/>
        <v>4661.4854953615049</v>
      </c>
      <c r="AD161" s="24">
        <v>223.49504033270105</v>
      </c>
      <c r="AE161" s="15">
        <f t="shared" si="81"/>
        <v>290.92580532173145</v>
      </c>
      <c r="AF161" s="24">
        <v>605.89710475516654</v>
      </c>
      <c r="AG161" s="15">
        <f t="shared" si="82"/>
        <v>788.70252727129935</v>
      </c>
      <c r="AH161" s="24">
        <v>11.072231355931979</v>
      </c>
      <c r="AI161" s="15">
        <f t="shared" si="83"/>
        <v>14.412838061810548</v>
      </c>
    </row>
    <row r="162" spans="1:35" x14ac:dyDescent="0.45">
      <c r="A162" s="11" t="s">
        <v>2</v>
      </c>
      <c r="B162" s="11" t="s">
        <v>7</v>
      </c>
      <c r="C162" s="10" t="s">
        <v>4</v>
      </c>
      <c r="D162" t="s">
        <v>63</v>
      </c>
      <c r="E162" t="s">
        <v>57</v>
      </c>
      <c r="F162" t="s">
        <v>44</v>
      </c>
      <c r="G162" s="12">
        <v>1.3017103417089302</v>
      </c>
      <c r="H162" s="25">
        <v>0.15218055457252641</v>
      </c>
      <c r="I162" s="19">
        <f t="shared" si="70"/>
        <v>1980.9500169405785</v>
      </c>
      <c r="J162" s="15">
        <v>96.966333861428183</v>
      </c>
      <c r="K162" s="15">
        <f t="shared" si="71"/>
        <v>126.22207958502189</v>
      </c>
      <c r="L162" s="26">
        <v>30452.237080448522</v>
      </c>
      <c r="M162" s="15">
        <f t="shared" si="72"/>
        <v>39639.991935792001</v>
      </c>
      <c r="N162" s="15">
        <v>115.19760737669668</v>
      </c>
      <c r="O162" s="15">
        <f t="shared" si="73"/>
        <v>149.95391686237102</v>
      </c>
      <c r="P162" s="27">
        <v>4.368623838771593</v>
      </c>
      <c r="Q162" s="19">
        <f t="shared" si="74"/>
        <v>56.866828299651488</v>
      </c>
      <c r="R162" s="27">
        <v>1.6937454126679463</v>
      </c>
      <c r="S162" s="19">
        <f t="shared" si="75"/>
        <v>22.047659198919256</v>
      </c>
      <c r="T162" s="27">
        <v>15.702959894938884</v>
      </c>
      <c r="U162" s="15">
        <f t="shared" si="76"/>
        <v>20.440705290682519</v>
      </c>
      <c r="V162" s="27">
        <v>7.4288254463814258</v>
      </c>
      <c r="W162" s="15">
        <f t="shared" si="77"/>
        <v>9.670178910305161</v>
      </c>
      <c r="X162" s="27">
        <v>30.312904942100076</v>
      </c>
      <c r="Y162" s="15">
        <f t="shared" si="78"/>
        <v>39.458621850371408</v>
      </c>
      <c r="Z162" s="27">
        <v>6.5530277169189839</v>
      </c>
      <c r="AA162" s="15">
        <f t="shared" si="79"/>
        <v>8.5301439486187007</v>
      </c>
      <c r="AB162" s="24">
        <v>3474.2436391554706</v>
      </c>
      <c r="AC162" s="15">
        <f t="shared" si="80"/>
        <v>4522.4588747051448</v>
      </c>
      <c r="AD162" s="24">
        <v>274.7172437619962</v>
      </c>
      <c r="AE162" s="15">
        <f t="shared" si="81"/>
        <v>357.60227725076356</v>
      </c>
      <c r="AF162" s="24">
        <v>621.72849904030716</v>
      </c>
      <c r="AG162" s="15">
        <f t="shared" si="82"/>
        <v>809.31041693593852</v>
      </c>
      <c r="AH162" s="24">
        <v>11.980150479846451</v>
      </c>
      <c r="AI162" s="15">
        <f t="shared" si="83"/>
        <v>15.594685774845328</v>
      </c>
    </row>
    <row r="163" spans="1:35" x14ac:dyDescent="0.45">
      <c r="A163" s="11" t="s">
        <v>2</v>
      </c>
      <c r="B163" s="11" t="s">
        <v>7</v>
      </c>
      <c r="C163" s="10" t="s">
        <v>4</v>
      </c>
      <c r="D163" t="s">
        <v>63</v>
      </c>
      <c r="E163" t="s">
        <v>51</v>
      </c>
      <c r="F163" t="s">
        <v>45</v>
      </c>
      <c r="G163" s="12">
        <v>1.3017103417089302</v>
      </c>
      <c r="H163" s="25">
        <v>0.22259486479343038</v>
      </c>
      <c r="I163" s="19">
        <f t="shared" si="70"/>
        <v>2897.5403751290933</v>
      </c>
      <c r="J163" s="15">
        <v>178.0750693941055</v>
      </c>
      <c r="K163" s="15">
        <f t="shared" si="71"/>
        <v>231.80215943084252</v>
      </c>
      <c r="L163" s="26">
        <v>25621.004882213139</v>
      </c>
      <c r="M163" s="15">
        <f t="shared" si="72"/>
        <v>33351.127020151835</v>
      </c>
      <c r="N163" s="15">
        <v>111.75119150752539</v>
      </c>
      <c r="O163" s="15">
        <f t="shared" si="73"/>
        <v>145.46768168364099</v>
      </c>
      <c r="P163" s="27">
        <v>5.4424193083573495</v>
      </c>
      <c r="Q163" s="19">
        <f t="shared" si="74"/>
        <v>70.84453497605125</v>
      </c>
      <c r="R163" s="27">
        <v>2.2806328530259368</v>
      </c>
      <c r="S163" s="19">
        <f t="shared" si="75"/>
        <v>29.687233704250044</v>
      </c>
      <c r="T163" s="27">
        <v>22.72112431408156</v>
      </c>
      <c r="U163" s="15">
        <f t="shared" si="76"/>
        <v>29.576322494894193</v>
      </c>
      <c r="V163" s="27">
        <v>13.466525128828746</v>
      </c>
      <c r="W163" s="15">
        <f t="shared" si="77"/>
        <v>17.529515027079565</v>
      </c>
      <c r="X163" s="27">
        <v>67.794564612023024</v>
      </c>
      <c r="Y163" s="15">
        <f t="shared" si="78"/>
        <v>88.248885867124628</v>
      </c>
      <c r="Z163" s="27">
        <v>20.345398889639849</v>
      </c>
      <c r="AA163" s="15">
        <f t="shared" si="79"/>
        <v>26.483816140837575</v>
      </c>
      <c r="AB163" s="24">
        <v>3294.2474543707972</v>
      </c>
      <c r="AC163" s="15">
        <f t="shared" si="80"/>
        <v>4288.1559795027833</v>
      </c>
      <c r="AD163" s="24">
        <v>420.41969260326607</v>
      </c>
      <c r="AE163" s="15">
        <f t="shared" si="81"/>
        <v>547.26466171976085</v>
      </c>
      <c r="AF163" s="24">
        <v>527.92427153378162</v>
      </c>
      <c r="AG163" s="15">
        <f t="shared" si="82"/>
        <v>687.20448389467697</v>
      </c>
      <c r="AH163" s="24">
        <v>8.9267195004803082</v>
      </c>
      <c r="AI163" s="15">
        <f t="shared" si="83"/>
        <v>11.620003091309993</v>
      </c>
    </row>
    <row r="164" spans="1:35" x14ac:dyDescent="0.45">
      <c r="A164" s="11" t="s">
        <v>2</v>
      </c>
      <c r="B164" s="11" t="s">
        <v>7</v>
      </c>
      <c r="C164" s="10" t="s">
        <v>4</v>
      </c>
      <c r="D164" t="s">
        <v>63</v>
      </c>
      <c r="E164" t="s">
        <v>52</v>
      </c>
      <c r="F164" t="s">
        <v>45</v>
      </c>
      <c r="G164" s="12">
        <v>1.3017103417089302</v>
      </c>
      <c r="H164" s="25">
        <v>1.7231271428810024</v>
      </c>
      <c r="I164" s="19">
        <f t="shared" si="70"/>
        <v>22430.124219675621</v>
      </c>
      <c r="J164" s="15">
        <v>131.84814791049837</v>
      </c>
      <c r="K164" s="15">
        <f t="shared" si="71"/>
        <v>171.6280976702644</v>
      </c>
      <c r="L164" s="26">
        <v>27168.709266405727</v>
      </c>
      <c r="M164" s="15">
        <f t="shared" si="72"/>
        <v>35365.789822963576</v>
      </c>
      <c r="N164" s="15">
        <v>109.87345659208201</v>
      </c>
      <c r="O164" s="15">
        <f t="shared" si="73"/>
        <v>143.02341472522039</v>
      </c>
      <c r="P164" s="27">
        <v>4.93185188976378</v>
      </c>
      <c r="Q164" s="19">
        <f t="shared" si="74"/>
        <v>64.198426086822423</v>
      </c>
      <c r="R164" s="27">
        <v>2.1518936220472438</v>
      </c>
      <c r="S164" s="19">
        <f t="shared" si="75"/>
        <v>28.011421820763854</v>
      </c>
      <c r="T164" s="27">
        <v>25.273796752337102</v>
      </c>
      <c r="U164" s="15">
        <f t="shared" si="76"/>
        <v>32.89916260676678</v>
      </c>
      <c r="V164" s="27">
        <v>7.6373601901507655</v>
      </c>
      <c r="W164" s="15">
        <f t="shared" si="77"/>
        <v>9.9416307428753345</v>
      </c>
      <c r="X164" s="27">
        <v>54.870553023890643</v>
      </c>
      <c r="Y164" s="15">
        <f t="shared" si="78"/>
        <v>71.42556632648666</v>
      </c>
      <c r="Z164" s="27">
        <v>23.596175667698422</v>
      </c>
      <c r="AA164" s="15">
        <f t="shared" si="79"/>
        <v>30.715385891423658</v>
      </c>
      <c r="AB164" s="24">
        <v>2986.8344488188973</v>
      </c>
      <c r="AC164" s="15">
        <f t="shared" si="80"/>
        <v>3887.9932910000512</v>
      </c>
      <c r="AD164" s="24">
        <v>366.08503937007868</v>
      </c>
      <c r="AE164" s="15">
        <f t="shared" si="81"/>
        <v>476.5366816929523</v>
      </c>
      <c r="AF164" s="24">
        <v>634.92874015748021</v>
      </c>
      <c r="AG164" s="15">
        <f t="shared" si="82"/>
        <v>826.49330731121404</v>
      </c>
      <c r="AH164" s="24">
        <v>9.8194685039370064</v>
      </c>
      <c r="AI164" s="15">
        <f t="shared" si="83"/>
        <v>12.782103701659917</v>
      </c>
    </row>
    <row r="165" spans="1:35" x14ac:dyDescent="0.45">
      <c r="A165" s="11" t="s">
        <v>2</v>
      </c>
      <c r="B165" s="11" t="s">
        <v>7</v>
      </c>
      <c r="C165" s="10" t="s">
        <v>4</v>
      </c>
      <c r="D165" t="s">
        <v>63</v>
      </c>
      <c r="E165" t="s">
        <v>53</v>
      </c>
      <c r="F165" t="s">
        <v>45</v>
      </c>
      <c r="G165" s="12">
        <v>1.3017103417089302</v>
      </c>
      <c r="H165" s="25">
        <v>0.17999813928751096</v>
      </c>
      <c r="I165" s="19">
        <f t="shared" si="70"/>
        <v>2343.054393989175</v>
      </c>
      <c r="J165" s="15">
        <v>111.89663448203871</v>
      </c>
      <c r="K165" s="15">
        <f t="shared" si="71"/>
        <v>145.65700630769388</v>
      </c>
      <c r="L165" s="26">
        <v>28067.40581591137</v>
      </c>
      <c r="M165" s="15">
        <f t="shared" si="72"/>
        <v>36535.63241551321</v>
      </c>
      <c r="N165" s="15">
        <v>105.36933080391977</v>
      </c>
      <c r="O165" s="15">
        <f t="shared" si="73"/>
        <v>137.1603476064117</v>
      </c>
      <c r="P165" s="27">
        <v>3.9566351561823594</v>
      </c>
      <c r="Q165" s="19">
        <f t="shared" si="74"/>
        <v>51.503929011717055</v>
      </c>
      <c r="R165" s="27">
        <v>1.6214046129716373</v>
      </c>
      <c r="S165" s="19">
        <f t="shared" si="75"/>
        <v>21.105991527997457</v>
      </c>
      <c r="T165" s="27">
        <v>32.150957296234992</v>
      </c>
      <c r="U165" s="15">
        <f t="shared" si="76"/>
        <v>41.851233608351272</v>
      </c>
      <c r="V165" s="27">
        <v>7.0406771132224666</v>
      </c>
      <c r="W165" s="15">
        <f t="shared" si="77"/>
        <v>9.1649222109150603</v>
      </c>
      <c r="X165" s="27">
        <v>42.533268963022408</v>
      </c>
      <c r="Y165" s="15">
        <f t="shared" si="78"/>
        <v>55.365996075853737</v>
      </c>
      <c r="Z165" s="27">
        <v>19.137477875742089</v>
      </c>
      <c r="AA165" s="15">
        <f t="shared" si="79"/>
        <v>24.91145286507933</v>
      </c>
      <c r="AB165" s="24">
        <v>2873.5822825123291</v>
      </c>
      <c r="AC165" s="15">
        <f t="shared" si="80"/>
        <v>3740.5717748978514</v>
      </c>
      <c r="AD165" s="24">
        <v>320.35584200756801</v>
      </c>
      <c r="AE165" s="15">
        <f t="shared" si="81"/>
        <v>417.01051256812337</v>
      </c>
      <c r="AF165" s="24">
        <v>644.55980223744916</v>
      </c>
      <c r="AG165" s="15">
        <f t="shared" si="82"/>
        <v>839.03016042235038</v>
      </c>
      <c r="AH165" s="28">
        <v>99.089044224563082</v>
      </c>
      <c r="AI165" s="15">
        <f t="shared" si="83"/>
        <v>128.9852336171673</v>
      </c>
    </row>
    <row r="166" spans="1:35" x14ac:dyDescent="0.45">
      <c r="A166" s="11" t="s">
        <v>2</v>
      </c>
      <c r="B166" s="11" t="s">
        <v>7</v>
      </c>
      <c r="C166" s="10" t="s">
        <v>4</v>
      </c>
      <c r="D166" t="s">
        <v>63</v>
      </c>
      <c r="E166" t="s">
        <v>54</v>
      </c>
      <c r="F166" t="s">
        <v>45</v>
      </c>
      <c r="G166" s="12">
        <v>1.3017103417089302</v>
      </c>
      <c r="H166" s="25">
        <v>0.163094363562753</v>
      </c>
      <c r="I166" s="19">
        <f t="shared" si="70"/>
        <v>2123.0161972407172</v>
      </c>
      <c r="J166" s="15">
        <v>107.76195862960569</v>
      </c>
      <c r="K166" s="15">
        <f t="shared" si="71"/>
        <v>140.27485599096764</v>
      </c>
      <c r="L166" s="26">
        <v>30458.338720103427</v>
      </c>
      <c r="M166" s="15">
        <f t="shared" si="72"/>
        <v>39647.934503232173</v>
      </c>
      <c r="N166" s="15">
        <v>113.10552682611505</v>
      </c>
      <c r="O166" s="15">
        <f t="shared" si="73"/>
        <v>147.23063397399079</v>
      </c>
      <c r="P166" s="27">
        <v>4.1284051648351641</v>
      </c>
      <c r="Q166" s="19">
        <f t="shared" si="74"/>
        <v>53.739876978304935</v>
      </c>
      <c r="R166" s="27">
        <v>1.6369486813186813</v>
      </c>
      <c r="S166" s="19">
        <f t="shared" si="75"/>
        <v>21.308330273193231</v>
      </c>
      <c r="T166" s="27">
        <v>23.768767469651301</v>
      </c>
      <c r="U166" s="15">
        <f t="shared" si="76"/>
        <v>30.9400504249199</v>
      </c>
      <c r="V166" s="27">
        <v>7.3179702192037359</v>
      </c>
      <c r="W166" s="15">
        <f t="shared" si="77"/>
        <v>9.5258775146554715</v>
      </c>
      <c r="X166" s="27">
        <v>44.092716839377829</v>
      </c>
      <c r="Y166" s="15">
        <f t="shared" si="78"/>
        <v>57.395945503861611</v>
      </c>
      <c r="Z166" s="27">
        <v>13.546029980228191</v>
      </c>
      <c r="AA166" s="15">
        <f t="shared" si="79"/>
        <v>17.633007314362249</v>
      </c>
      <c r="AB166" s="24">
        <v>2875.6115384615382</v>
      </c>
      <c r="AC166" s="15">
        <f t="shared" si="80"/>
        <v>3743.2132783529114</v>
      </c>
      <c r="AD166" s="24">
        <v>331.06373626373625</v>
      </c>
      <c r="AE166" s="15">
        <f t="shared" si="81"/>
        <v>430.94908925930326</v>
      </c>
      <c r="AF166" s="24">
        <v>665.1554945054944</v>
      </c>
      <c r="AG166" s="15">
        <f t="shared" si="82"/>
        <v>865.83978604231959</v>
      </c>
      <c r="AH166" s="24">
        <v>8.6500494505494512</v>
      </c>
      <c r="AI166" s="15">
        <f t="shared" si="83"/>
        <v>11.25985882607387</v>
      </c>
    </row>
    <row r="167" spans="1:35" x14ac:dyDescent="0.45">
      <c r="A167" s="11" t="s">
        <v>2</v>
      </c>
      <c r="B167" s="11" t="s">
        <v>7</v>
      </c>
      <c r="C167" s="10" t="s">
        <v>4</v>
      </c>
      <c r="D167" t="s">
        <v>63</v>
      </c>
      <c r="E167" t="s">
        <v>55</v>
      </c>
      <c r="F167" t="s">
        <v>45</v>
      </c>
      <c r="G167" s="12">
        <v>1.3017103417089302</v>
      </c>
      <c r="H167" s="25">
        <v>0.21628663441234489</v>
      </c>
      <c r="I167" s="19">
        <f t="shared" si="70"/>
        <v>2815.4254878796792</v>
      </c>
      <c r="J167" s="15">
        <v>121.24219987367574</v>
      </c>
      <c r="K167" s="15">
        <f t="shared" si="71"/>
        <v>157.82222542710485</v>
      </c>
      <c r="L167" s="26">
        <v>29429.730567627274</v>
      </c>
      <c r="M167" s="15">
        <f t="shared" si="72"/>
        <v>38308.984633587846</v>
      </c>
      <c r="N167" s="15">
        <v>115.02465116220522</v>
      </c>
      <c r="O167" s="15">
        <f t="shared" si="73"/>
        <v>149.72877796930464</v>
      </c>
      <c r="P167" s="27">
        <v>4.6006544438902628</v>
      </c>
      <c r="Q167" s="19">
        <f t="shared" si="74"/>
        <v>59.887194682411021</v>
      </c>
      <c r="R167" s="27">
        <v>2.1976340423940095</v>
      </c>
      <c r="S167" s="19">
        <f t="shared" si="75"/>
        <v>28.606829602758836</v>
      </c>
      <c r="T167" s="27">
        <v>25.664330301347871</v>
      </c>
      <c r="U167" s="15">
        <f t="shared" si="76"/>
        <v>33.407524166298387</v>
      </c>
      <c r="V167" s="27">
        <v>9.5973991982200033</v>
      </c>
      <c r="W167" s="15">
        <f t="shared" si="77"/>
        <v>12.493033789831973</v>
      </c>
      <c r="X167" s="27">
        <v>67.595127756370928</v>
      </c>
      <c r="Y167" s="15">
        <f t="shared" si="78"/>
        <v>87.989276849604394</v>
      </c>
      <c r="Z167" s="27">
        <v>20.384391994538703</v>
      </c>
      <c r="AA167" s="15">
        <f t="shared" si="79"/>
        <v>26.534573868739759</v>
      </c>
      <c r="AB167" s="24">
        <v>3753.2382257097547</v>
      </c>
      <c r="AC167" s="15">
        <f t="shared" si="80"/>
        <v>4885.6290133036646</v>
      </c>
      <c r="AD167" s="24">
        <v>471.00621774889578</v>
      </c>
      <c r="AE167" s="15">
        <f t="shared" si="81"/>
        <v>613.11366465294589</v>
      </c>
      <c r="AF167" s="24">
        <v>571.7245284624961</v>
      </c>
      <c r="AG167" s="15">
        <f t="shared" si="82"/>
        <v>744.21973130829269</v>
      </c>
      <c r="AH167" s="24">
        <v>8.5808050990312452</v>
      </c>
      <c r="AI167" s="15">
        <f t="shared" si="83"/>
        <v>11.169722737597693</v>
      </c>
    </row>
    <row r="168" spans="1:35" x14ac:dyDescent="0.45">
      <c r="A168" s="11" t="s">
        <v>2</v>
      </c>
      <c r="B168" s="11" t="s">
        <v>7</v>
      </c>
      <c r="C168" s="10" t="s">
        <v>4</v>
      </c>
      <c r="D168" t="s">
        <v>63</v>
      </c>
      <c r="E168" t="s">
        <v>56</v>
      </c>
      <c r="F168" t="s">
        <v>45</v>
      </c>
      <c r="G168" s="12">
        <v>1.3017103417089302</v>
      </c>
      <c r="H168" s="25">
        <v>0.19533848167914164</v>
      </c>
      <c r="I168" s="19">
        <f t="shared" si="70"/>
        <v>2542.7412173545908</v>
      </c>
      <c r="J168" s="15">
        <v>158.12738611917786</v>
      </c>
      <c r="K168" s="15">
        <f t="shared" si="71"/>
        <v>205.83605381873494</v>
      </c>
      <c r="L168" s="26">
        <v>29717.043253431701</v>
      </c>
      <c r="M168" s="15">
        <f t="shared" si="72"/>
        <v>38682.982528003638</v>
      </c>
      <c r="N168" s="15">
        <v>133.59037792827095</v>
      </c>
      <c r="O168" s="15">
        <f t="shared" si="73"/>
        <v>173.89597650203473</v>
      </c>
      <c r="P168" s="27">
        <v>4.922741812191104</v>
      </c>
      <c r="Q168" s="19">
        <f t="shared" si="74"/>
        <v>64.079839264921205</v>
      </c>
      <c r="R168" s="27">
        <v>2.3476100658978587</v>
      </c>
      <c r="S168" s="19">
        <f t="shared" si="75"/>
        <v>30.559083010792257</v>
      </c>
      <c r="T168" s="27">
        <v>25.201863816514443</v>
      </c>
      <c r="U168" s="15">
        <f t="shared" si="76"/>
        <v>32.805526760296942</v>
      </c>
      <c r="V168" s="27">
        <v>8.4427721760764705</v>
      </c>
      <c r="W168" s="15">
        <f t="shared" si="77"/>
        <v>10.99004385429115</v>
      </c>
      <c r="X168" s="27">
        <v>39.616856137384957</v>
      </c>
      <c r="Y168" s="15">
        <f t="shared" si="78"/>
        <v>51.569671340028904</v>
      </c>
      <c r="Z168" s="27">
        <v>17.868194795449252</v>
      </c>
      <c r="AA168" s="15">
        <f t="shared" si="79"/>
        <v>23.259213952905974</v>
      </c>
      <c r="AB168" s="24">
        <v>3470.3885813310121</v>
      </c>
      <c r="AC168" s="15">
        <f t="shared" si="80"/>
        <v>4517.440706067162</v>
      </c>
      <c r="AD168" s="24">
        <v>331.72114637406361</v>
      </c>
      <c r="AE168" s="15">
        <f t="shared" si="81"/>
        <v>431.80484679866038</v>
      </c>
      <c r="AF168" s="24">
        <v>712.22481427372486</v>
      </c>
      <c r="AG168" s="15">
        <f t="shared" si="82"/>
        <v>927.11040636182975</v>
      </c>
      <c r="AH168" s="24">
        <v>10.049199434273104</v>
      </c>
      <c r="AI168" s="15">
        <f t="shared" si="83"/>
        <v>13.08114682948883</v>
      </c>
    </row>
    <row r="169" spans="1:35" x14ac:dyDescent="0.45">
      <c r="A169" s="11" t="s">
        <v>2</v>
      </c>
      <c r="B169" s="11" t="s">
        <v>7</v>
      </c>
      <c r="C169" s="10" t="s">
        <v>4</v>
      </c>
      <c r="D169" t="s">
        <v>63</v>
      </c>
      <c r="E169" t="s">
        <v>57</v>
      </c>
      <c r="F169" t="s">
        <v>45</v>
      </c>
      <c r="G169" s="12">
        <v>1.3017103417089302</v>
      </c>
      <c r="H169" s="25">
        <v>0.19072532817643045</v>
      </c>
      <c r="I169" s="19">
        <f t="shared" si="70"/>
        <v>2482.6913211308915</v>
      </c>
      <c r="J169" s="15">
        <v>120.61123726705094</v>
      </c>
      <c r="K169" s="15">
        <f t="shared" si="71"/>
        <v>157.00089487682973</v>
      </c>
      <c r="L169" s="26">
        <v>30053.947646871711</v>
      </c>
      <c r="M169" s="15">
        <f t="shared" si="72"/>
        <v>39121.534461111674</v>
      </c>
      <c r="N169" s="15">
        <v>121.5998539659612</v>
      </c>
      <c r="O169" s="15">
        <f t="shared" si="73"/>
        <v>158.28778745778737</v>
      </c>
      <c r="P169" s="27">
        <v>4.3121384311397541</v>
      </c>
      <c r="Q169" s="19">
        <f t="shared" si="74"/>
        <v>56.131551906951387</v>
      </c>
      <c r="R169" s="27">
        <v>1.8833444699250006</v>
      </c>
      <c r="S169" s="19">
        <f t="shared" si="75"/>
        <v>24.515689735016963</v>
      </c>
      <c r="T169" s="27">
        <v>25.946240131417408</v>
      </c>
      <c r="U169" s="15">
        <f t="shared" si="76"/>
        <v>33.774489107529313</v>
      </c>
      <c r="V169" s="27">
        <v>10.574011595850212</v>
      </c>
      <c r="W169" s="15">
        <f t="shared" si="77"/>
        <v>13.76430024766837</v>
      </c>
      <c r="X169" s="27">
        <v>43.859950770191674</v>
      </c>
      <c r="Y169" s="15">
        <f t="shared" si="78"/>
        <v>57.092951504403061</v>
      </c>
      <c r="Z169" s="27">
        <v>13.086348320436759</v>
      </c>
      <c r="AA169" s="15">
        <f t="shared" si="79"/>
        <v>17.034634943917819</v>
      </c>
      <c r="AB169" s="24">
        <v>3441.8270676792067</v>
      </c>
      <c r="AC169" s="15">
        <f t="shared" si="80"/>
        <v>4480.261888371745</v>
      </c>
      <c r="AD169" s="24">
        <v>367.9696639352382</v>
      </c>
      <c r="AE169" s="15">
        <f t="shared" si="81"/>
        <v>478.98991697965914</v>
      </c>
      <c r="AF169" s="24">
        <v>632.05343330300809</v>
      </c>
      <c r="AG169" s="15">
        <f t="shared" si="82"/>
        <v>822.75049064316113</v>
      </c>
      <c r="AH169" s="24">
        <v>9.3011857005266023</v>
      </c>
      <c r="AI169" s="15">
        <f t="shared" si="83"/>
        <v>12.107449616530699</v>
      </c>
    </row>
    <row r="170" spans="1:35" x14ac:dyDescent="0.45">
      <c r="A170" s="11" t="s">
        <v>2</v>
      </c>
      <c r="B170" s="11" t="s">
        <v>7</v>
      </c>
      <c r="C170" s="10" t="s">
        <v>4</v>
      </c>
      <c r="D170" t="s">
        <v>63</v>
      </c>
      <c r="E170" t="s">
        <v>51</v>
      </c>
      <c r="F170" t="s">
        <v>46</v>
      </c>
      <c r="G170" s="12">
        <v>1.3017103417089302</v>
      </c>
      <c r="H170" s="25">
        <v>0.24124536531962731</v>
      </c>
      <c r="I170" s="19">
        <f t="shared" si="70"/>
        <v>3140.3158692590778</v>
      </c>
      <c r="J170" s="15">
        <v>186.537834650055</v>
      </c>
      <c r="K170" s="15">
        <f t="shared" si="71"/>
        <v>242.818228483967</v>
      </c>
      <c r="L170" s="26">
        <v>28442.402510998487</v>
      </c>
      <c r="M170" s="15">
        <f t="shared" si="72"/>
        <v>37023.769491614774</v>
      </c>
      <c r="N170" s="15">
        <v>108.9676459836955</v>
      </c>
      <c r="O170" s="15">
        <f t="shared" si="73"/>
        <v>141.84431168865402</v>
      </c>
      <c r="P170" s="27">
        <v>5.4233197406085258</v>
      </c>
      <c r="Q170" s="19">
        <f t="shared" si="74"/>
        <v>70.595913927443107</v>
      </c>
      <c r="R170" s="27">
        <v>2.5533520436010004</v>
      </c>
      <c r="S170" s="19">
        <f t="shared" si="75"/>
        <v>33.237247611790536</v>
      </c>
      <c r="T170" s="27">
        <v>31.470812488963428</v>
      </c>
      <c r="U170" s="15">
        <f t="shared" si="76"/>
        <v>40.965882078866251</v>
      </c>
      <c r="V170" s="27">
        <v>11.743519713552116</v>
      </c>
      <c r="W170" s="15">
        <f t="shared" si="77"/>
        <v>15.286661059193483</v>
      </c>
      <c r="X170" s="27">
        <v>42.937860734172482</v>
      </c>
      <c r="Y170" s="15">
        <f t="shared" si="78"/>
        <v>55.892657368530116</v>
      </c>
      <c r="Z170" s="27">
        <v>11.407990578879197</v>
      </c>
      <c r="AA170" s="15">
        <f t="shared" si="79"/>
        <v>14.849899314645096</v>
      </c>
      <c r="AB170" s="24">
        <v>3431.7051465997451</v>
      </c>
      <c r="AC170" s="15">
        <f t="shared" si="80"/>
        <v>4467.0860790246488</v>
      </c>
      <c r="AD170" s="24">
        <v>305.38090441467972</v>
      </c>
      <c r="AE170" s="15">
        <f t="shared" si="81"/>
        <v>397.51748143701485</v>
      </c>
      <c r="AF170" s="24">
        <v>657.74348643161784</v>
      </c>
      <c r="AG170" s="15">
        <f t="shared" si="82"/>
        <v>856.19149847972437</v>
      </c>
      <c r="AH170" s="24">
        <v>5.8829231084567057</v>
      </c>
      <c r="AI170" s="15">
        <f t="shared" si="83"/>
        <v>7.6578618497565412</v>
      </c>
    </row>
    <row r="171" spans="1:35" x14ac:dyDescent="0.45">
      <c r="A171" s="11" t="s">
        <v>2</v>
      </c>
      <c r="B171" s="11" t="s">
        <v>7</v>
      </c>
      <c r="C171" s="10" t="s">
        <v>4</v>
      </c>
      <c r="D171" t="s">
        <v>63</v>
      </c>
      <c r="E171" t="s">
        <v>52</v>
      </c>
      <c r="F171" t="s">
        <v>46</v>
      </c>
      <c r="G171" s="12">
        <v>1.3017103417089302</v>
      </c>
      <c r="H171" s="25">
        <v>0.17457291713145623</v>
      </c>
      <c r="I171" s="19">
        <f t="shared" si="70"/>
        <v>2272.4337161231265</v>
      </c>
      <c r="J171" s="15">
        <v>109.00513570702779</v>
      </c>
      <c r="K171" s="15">
        <f t="shared" si="71"/>
        <v>141.89311244922345</v>
      </c>
      <c r="L171" s="26">
        <v>28447.68175768774</v>
      </c>
      <c r="M171" s="15">
        <f t="shared" si="72"/>
        <v>37030.64154162661</v>
      </c>
      <c r="N171" s="15">
        <v>105.46025324501062</v>
      </c>
      <c r="O171" s="15">
        <f t="shared" si="73"/>
        <v>137.27870228827311</v>
      </c>
      <c r="P171" s="27">
        <v>4.5135038703510437</v>
      </c>
      <c r="Q171" s="19">
        <f t="shared" si="74"/>
        <v>58.752746653792357</v>
      </c>
      <c r="R171" s="27">
        <v>1.8365291610393903</v>
      </c>
      <c r="S171" s="19">
        <f t="shared" si="75"/>
        <v>23.906290017749999</v>
      </c>
      <c r="T171" s="27">
        <v>27.282248591445445</v>
      </c>
      <c r="U171" s="15">
        <f t="shared" si="76"/>
        <v>35.513585136558426</v>
      </c>
      <c r="V171" s="27">
        <v>7.6567839453133626</v>
      </c>
      <c r="W171" s="15">
        <f t="shared" si="77"/>
        <v>9.9669148458453076</v>
      </c>
      <c r="X171" s="27">
        <v>26.654276186987079</v>
      </c>
      <c r="Y171" s="15">
        <f t="shared" si="78"/>
        <v>34.696146963367148</v>
      </c>
      <c r="Z171" s="27">
        <v>10.288158481775502</v>
      </c>
      <c r="AA171" s="15">
        <f t="shared" si="79"/>
        <v>13.392202292867617</v>
      </c>
      <c r="AB171" s="24">
        <v>3266.4039945909194</v>
      </c>
      <c r="AC171" s="15">
        <f t="shared" si="80"/>
        <v>4251.9118599583599</v>
      </c>
      <c r="AD171" s="24">
        <v>213.5034987301334</v>
      </c>
      <c r="AE171" s="15">
        <f t="shared" si="81"/>
        <v>277.91971228805409</v>
      </c>
      <c r="AF171" s="24">
        <v>616.56617857580579</v>
      </c>
      <c r="AG171" s="15">
        <f t="shared" si="82"/>
        <v>802.59057100008147</v>
      </c>
      <c r="AH171" s="24">
        <v>10.375870966324239</v>
      </c>
      <c r="AI171" s="15">
        <f t="shared" si="83"/>
        <v>13.506378541101695</v>
      </c>
    </row>
    <row r="172" spans="1:35" x14ac:dyDescent="0.45">
      <c r="A172" s="11" t="s">
        <v>2</v>
      </c>
      <c r="B172" s="11" t="s">
        <v>7</v>
      </c>
      <c r="C172" s="10" t="s">
        <v>4</v>
      </c>
      <c r="D172" t="s">
        <v>63</v>
      </c>
      <c r="E172" t="s">
        <v>53</v>
      </c>
      <c r="F172" t="s">
        <v>46</v>
      </c>
      <c r="G172" s="12">
        <v>1.3017103417089302</v>
      </c>
      <c r="H172" s="25">
        <v>0.24013665239814561</v>
      </c>
      <c r="I172" s="19">
        <f t="shared" si="70"/>
        <v>3125.8836385002874</v>
      </c>
      <c r="J172" s="15">
        <v>138.16553805239101</v>
      </c>
      <c r="K172" s="15">
        <f t="shared" si="71"/>
        <v>179.8515097505761</v>
      </c>
      <c r="L172" s="26">
        <v>28039.476840044063</v>
      </c>
      <c r="M172" s="15">
        <f t="shared" si="72"/>
        <v>36499.276978793387</v>
      </c>
      <c r="N172" s="15">
        <v>105.65599968712253</v>
      </c>
      <c r="O172" s="15">
        <f t="shared" si="73"/>
        <v>137.53350745632287</v>
      </c>
      <c r="P172" s="27">
        <v>4.2651295227543535</v>
      </c>
      <c r="Q172" s="19">
        <f t="shared" si="74"/>
        <v>55.519632084974155</v>
      </c>
      <c r="R172" s="27">
        <v>1.7391790286959501</v>
      </c>
      <c r="S172" s="19">
        <f t="shared" si="75"/>
        <v>22.639073277368105</v>
      </c>
      <c r="T172" s="27">
        <v>28.33926284093198</v>
      </c>
      <c r="U172" s="15">
        <f t="shared" si="76"/>
        <v>36.889511516448756</v>
      </c>
      <c r="V172" s="27">
        <v>14.48168792856244</v>
      </c>
      <c r="W172" s="15">
        <f t="shared" si="77"/>
        <v>18.850962942011105</v>
      </c>
      <c r="X172" s="27">
        <v>62.299934702578021</v>
      </c>
      <c r="Y172" s="15">
        <f t="shared" si="78"/>
        <v>81.096469290136881</v>
      </c>
      <c r="Z172" s="27">
        <v>25.266141527414103</v>
      </c>
      <c r="AA172" s="15">
        <f t="shared" si="79"/>
        <v>32.889197721316407</v>
      </c>
      <c r="AB172" s="24">
        <v>3150.470252874703</v>
      </c>
      <c r="AC172" s="15">
        <f t="shared" si="80"/>
        <v>4100.9997094133496</v>
      </c>
      <c r="AD172" s="24">
        <v>454.90202387479917</v>
      </c>
      <c r="AE172" s="15">
        <f t="shared" si="81"/>
        <v>592.15066894214885</v>
      </c>
      <c r="AF172" s="24">
        <v>696.78646983010822</v>
      </c>
      <c r="AG172" s="15">
        <f t="shared" si="82"/>
        <v>907.01415374070928</v>
      </c>
      <c r="AH172" s="24">
        <v>4.230489281111371</v>
      </c>
      <c r="AI172" s="15">
        <f t="shared" si="83"/>
        <v>5.5068716477114492</v>
      </c>
    </row>
    <row r="173" spans="1:35" x14ac:dyDescent="0.45">
      <c r="A173" s="11" t="s">
        <v>2</v>
      </c>
      <c r="B173" s="11" t="s">
        <v>7</v>
      </c>
      <c r="C173" s="10" t="s">
        <v>4</v>
      </c>
      <c r="D173" t="s">
        <v>63</v>
      </c>
      <c r="E173" t="s">
        <v>54</v>
      </c>
      <c r="F173" t="s">
        <v>46</v>
      </c>
      <c r="G173" s="12">
        <v>1.3017103417089302</v>
      </c>
      <c r="H173" s="25">
        <v>0.21840746809536005</v>
      </c>
      <c r="I173" s="19">
        <f t="shared" si="70"/>
        <v>2843.0325992619337</v>
      </c>
      <c r="J173" s="15">
        <v>187.36063214555358</v>
      </c>
      <c r="K173" s="15">
        <f t="shared" si="71"/>
        <v>243.88927249298973</v>
      </c>
      <c r="L173" s="26">
        <v>30650.277771503381</v>
      </c>
      <c r="M173" s="15">
        <f t="shared" si="72"/>
        <v>39897.783551417298</v>
      </c>
      <c r="N173" s="15">
        <v>124.9070880970357</v>
      </c>
      <c r="O173" s="15">
        <f t="shared" si="73"/>
        <v>162.59284832865978</v>
      </c>
      <c r="P173" s="27">
        <v>4.1800733525925757</v>
      </c>
      <c r="Q173" s="19">
        <f t="shared" si="74"/>
        <v>54.412447121716752</v>
      </c>
      <c r="R173" s="27">
        <v>2.2190512859442069</v>
      </c>
      <c r="S173" s="19">
        <f t="shared" si="75"/>
        <v>28.885620076960745</v>
      </c>
      <c r="T173" s="27">
        <v>29.857523430770833</v>
      </c>
      <c r="U173" s="15">
        <f t="shared" si="76"/>
        <v>38.865847027651093</v>
      </c>
      <c r="V173" s="27">
        <v>1182.3653128925907</v>
      </c>
      <c r="W173" s="15">
        <f t="shared" si="77"/>
        <v>1539.0971554702005</v>
      </c>
      <c r="X173" s="27">
        <v>423.52836531305178</v>
      </c>
      <c r="Y173" s="15">
        <f t="shared" si="78"/>
        <v>551.31125313507721</v>
      </c>
      <c r="Z173" s="27">
        <v>14.888382417288803</v>
      </c>
      <c r="AA173" s="15">
        <f t="shared" si="79"/>
        <v>19.380361363902239</v>
      </c>
      <c r="AB173" s="24">
        <v>3163.2470958119402</v>
      </c>
      <c r="AC173" s="15">
        <f t="shared" si="80"/>
        <v>4117.6314579991413</v>
      </c>
      <c r="AD173" s="24">
        <v>1158.2644955057617</v>
      </c>
      <c r="AE173" s="15">
        <f t="shared" si="81"/>
        <v>1507.7248722341269</v>
      </c>
      <c r="AF173" s="24">
        <v>742.55075330691159</v>
      </c>
      <c r="AG173" s="15">
        <f t="shared" si="82"/>
        <v>966.58599482336342</v>
      </c>
      <c r="AH173" s="24">
        <v>20.451204788633088</v>
      </c>
      <c r="AI173" s="15">
        <f t="shared" si="83"/>
        <v>26.621544773770886</v>
      </c>
    </row>
    <row r="174" spans="1:35" x14ac:dyDescent="0.45">
      <c r="A174" s="11" t="s">
        <v>2</v>
      </c>
      <c r="B174" s="11" t="s">
        <v>7</v>
      </c>
      <c r="C174" s="10" t="s">
        <v>4</v>
      </c>
      <c r="D174" t="s">
        <v>63</v>
      </c>
      <c r="E174" t="s">
        <v>55</v>
      </c>
      <c r="F174" t="s">
        <v>46</v>
      </c>
      <c r="G174" s="12">
        <v>1.3017103417089302</v>
      </c>
      <c r="H174" s="25">
        <v>0.12247485576771856</v>
      </c>
      <c r="I174" s="19">
        <f t="shared" si="70"/>
        <v>1594.2678635214886</v>
      </c>
      <c r="J174" s="15">
        <v>156.67387648232591</v>
      </c>
      <c r="K174" s="15">
        <f t="shared" si="71"/>
        <v>203.94400529267116</v>
      </c>
      <c r="L174" s="26">
        <v>32584.321550618704</v>
      </c>
      <c r="M174" s="15">
        <f t="shared" si="72"/>
        <v>42415.348340009528</v>
      </c>
      <c r="N174" s="15">
        <v>123.03224656280808</v>
      </c>
      <c r="O174" s="15">
        <f t="shared" si="73"/>
        <v>160.15234771449028</v>
      </c>
      <c r="P174" s="27">
        <v>3.9943245469522242</v>
      </c>
      <c r="Q174" s="19">
        <f t="shared" si="74"/>
        <v>51.994535709095473</v>
      </c>
      <c r="R174" s="27">
        <v>1.8475041186161452</v>
      </c>
      <c r="S174" s="19">
        <f t="shared" si="75"/>
        <v>24.049152175524782</v>
      </c>
      <c r="T174" s="27">
        <v>18.132207578253706</v>
      </c>
      <c r="U174" s="15">
        <f t="shared" si="76"/>
        <v>23.602882122625882</v>
      </c>
      <c r="V174" s="27">
        <v>247.48628244107812</v>
      </c>
      <c r="W174" s="15">
        <f t="shared" si="77"/>
        <v>322.15545328464862</v>
      </c>
      <c r="X174" s="27">
        <v>89.842443399722299</v>
      </c>
      <c r="Y174" s="15">
        <f t="shared" si="78"/>
        <v>116.94883769781774</v>
      </c>
      <c r="Z174" s="27">
        <v>10.374650998269756</v>
      </c>
      <c r="AA174" s="15">
        <f t="shared" si="79"/>
        <v>13.504790496068617</v>
      </c>
      <c r="AB174" s="24">
        <v>3304.3384120346</v>
      </c>
      <c r="AC174" s="15">
        <f t="shared" si="80"/>
        <v>4301.2914834515032</v>
      </c>
      <c r="AD174" s="24">
        <v>479.63250080502223</v>
      </c>
      <c r="AE174" s="15">
        <f t="shared" si="81"/>
        <v>624.34258651761422</v>
      </c>
      <c r="AF174" s="24">
        <v>551.94350760577936</v>
      </c>
      <c r="AG174" s="15">
        <f t="shared" si="82"/>
        <v>718.47057188954466</v>
      </c>
      <c r="AH174" s="24">
        <v>10.709351640112137</v>
      </c>
      <c r="AI174" s="15">
        <f t="shared" si="83"/>
        <v>13.940473782931463</v>
      </c>
    </row>
    <row r="175" spans="1:35" x14ac:dyDescent="0.45">
      <c r="A175" s="11" t="s">
        <v>2</v>
      </c>
      <c r="B175" s="11" t="s">
        <v>7</v>
      </c>
      <c r="C175" s="10" t="s">
        <v>4</v>
      </c>
      <c r="D175" t="s">
        <v>63</v>
      </c>
      <c r="E175" t="s">
        <v>56</v>
      </c>
      <c r="F175" t="s">
        <v>46</v>
      </c>
      <c r="G175" s="12">
        <v>1.3017103417089302</v>
      </c>
      <c r="H175" s="25">
        <v>0.19459268261109275</v>
      </c>
      <c r="I175" s="19">
        <f t="shared" si="70"/>
        <v>2533.0330737574295</v>
      </c>
      <c r="J175" s="15">
        <v>159.40911214362757</v>
      </c>
      <c r="K175" s="15">
        <f t="shared" si="71"/>
        <v>207.5044898399986</v>
      </c>
      <c r="L175" s="26">
        <v>31982.714271854395</v>
      </c>
      <c r="M175" s="15">
        <f t="shared" si="72"/>
        <v>41632.229923594663</v>
      </c>
      <c r="N175" s="15">
        <v>121.07021175465387</v>
      </c>
      <c r="O175" s="15">
        <f t="shared" si="73"/>
        <v>157.59834671392304</v>
      </c>
      <c r="P175" s="27">
        <v>3.8092805005213766</v>
      </c>
      <c r="Q175" s="19">
        <f t="shared" si="74"/>
        <v>49.585798219988455</v>
      </c>
      <c r="R175" s="27">
        <v>1.8891553701772681</v>
      </c>
      <c r="S175" s="19">
        <f t="shared" si="75"/>
        <v>24.591330824547121</v>
      </c>
      <c r="T175" s="27">
        <v>32.982202138466214</v>
      </c>
      <c r="U175" s="15">
        <f t="shared" si="76"/>
        <v>42.933273615975864</v>
      </c>
      <c r="V175" s="27">
        <v>304.50708193303979</v>
      </c>
      <c r="W175" s="15">
        <f t="shared" si="77"/>
        <v>396.38001767584637</v>
      </c>
      <c r="X175" s="27">
        <v>140.10823616702086</v>
      </c>
      <c r="Y175" s="15">
        <f t="shared" si="78"/>
        <v>182.38033997720822</v>
      </c>
      <c r="Z175" s="27">
        <v>23.850821719942523</v>
      </c>
      <c r="AA175" s="15">
        <f t="shared" si="79"/>
        <v>31.046861291105156</v>
      </c>
      <c r="AB175" s="24">
        <v>3197.3899148359178</v>
      </c>
      <c r="AC175" s="15">
        <f t="shared" si="80"/>
        <v>4162.0755186177494</v>
      </c>
      <c r="AD175" s="24">
        <v>662.37939833515441</v>
      </c>
      <c r="AE175" s="15">
        <f t="shared" si="81"/>
        <v>862.2261129478095</v>
      </c>
      <c r="AF175" s="24">
        <v>762.79329648702617</v>
      </c>
      <c r="AG175" s="15">
        <f t="shared" si="82"/>
        <v>992.93592262340815</v>
      </c>
      <c r="AH175" s="24">
        <v>14.005096321182119</v>
      </c>
      <c r="AI175" s="15">
        <f t="shared" si="83"/>
        <v>18.230578717912458</v>
      </c>
    </row>
    <row r="176" spans="1:35" x14ac:dyDescent="0.45">
      <c r="A176" s="11" t="s">
        <v>2</v>
      </c>
      <c r="B176" s="11" t="s">
        <v>7</v>
      </c>
      <c r="C176" s="10" t="s">
        <v>4</v>
      </c>
      <c r="D176" t="s">
        <v>63</v>
      </c>
      <c r="E176" t="s">
        <v>57</v>
      </c>
      <c r="F176" t="s">
        <v>46</v>
      </c>
      <c r="G176" s="12">
        <v>1.3017103417089302</v>
      </c>
      <c r="H176" s="25">
        <v>0.26042032005074794</v>
      </c>
      <c r="I176" s="19">
        <f t="shared" si="70"/>
        <v>3389.9182380120806</v>
      </c>
      <c r="J176" s="15">
        <v>234.30123625358146</v>
      </c>
      <c r="K176" s="15">
        <f t="shared" si="71"/>
        <v>304.99234230647431</v>
      </c>
      <c r="L176" s="26">
        <v>30518.22825151691</v>
      </c>
      <c r="M176" s="15">
        <f t="shared" si="72"/>
        <v>39725.893325633202</v>
      </c>
      <c r="N176" s="15">
        <v>135.85533866804303</v>
      </c>
      <c r="O176" s="15">
        <f t="shared" si="73"/>
        <v>176.84429932056074</v>
      </c>
      <c r="P176" s="27">
        <v>4.5864211037304852</v>
      </c>
      <c r="Q176" s="19">
        <f t="shared" si="74"/>
        <v>59.701917821580579</v>
      </c>
      <c r="R176" s="27">
        <v>2.3493916566993573</v>
      </c>
      <c r="S176" s="19">
        <f t="shared" si="75"/>
        <v>30.582274162502298</v>
      </c>
      <c r="T176" s="27">
        <v>32.529505925723903</v>
      </c>
      <c r="U176" s="15">
        <f t="shared" si="76"/>
        <v>42.343994274196731</v>
      </c>
      <c r="V176" s="27">
        <v>171.65526510445261</v>
      </c>
      <c r="W176" s="15">
        <f t="shared" si="77"/>
        <v>223.44543379525402</v>
      </c>
      <c r="X176" s="27">
        <v>117.96806405357768</v>
      </c>
      <c r="Y176" s="15">
        <f t="shared" si="78"/>
        <v>153.56024896992355</v>
      </c>
      <c r="Z176" s="27">
        <v>41.975263756347061</v>
      </c>
      <c r="AA176" s="15">
        <f t="shared" si="79"/>
        <v>54.639634927597008</v>
      </c>
      <c r="AB176" s="24">
        <v>3891.8183530541532</v>
      </c>
      <c r="AC176" s="15">
        <f t="shared" si="80"/>
        <v>5066.0201982232074</v>
      </c>
      <c r="AD176" s="24">
        <v>600.62708440835752</v>
      </c>
      <c r="AE176" s="15">
        <f t="shared" si="81"/>
        <v>781.84248728484158</v>
      </c>
      <c r="AF176" s="24">
        <v>781.42809451087328</v>
      </c>
      <c r="AG176" s="15">
        <f t="shared" si="82"/>
        <v>1017.193031926707</v>
      </c>
      <c r="AH176" s="24">
        <v>8.4782394567846389</v>
      </c>
      <c r="AI176" s="15">
        <f t="shared" si="83"/>
        <v>11.036211980381267</v>
      </c>
    </row>
    <row r="177" spans="1:35" x14ac:dyDescent="0.45">
      <c r="A177" s="11" t="s">
        <v>2</v>
      </c>
      <c r="B177" s="11" t="s">
        <v>7</v>
      </c>
      <c r="C177" s="10" t="s">
        <v>4</v>
      </c>
      <c r="D177" t="s">
        <v>63</v>
      </c>
      <c r="E177" t="s">
        <v>51</v>
      </c>
      <c r="F177" t="s">
        <v>47</v>
      </c>
      <c r="G177" s="12">
        <v>1.3017103417089302</v>
      </c>
      <c r="H177" s="25">
        <v>0.19253901737847814</v>
      </c>
      <c r="I177" s="19">
        <f t="shared" si="70"/>
        <v>2506.3003010404041</v>
      </c>
      <c r="J177" s="15">
        <v>150.96883685993393</v>
      </c>
      <c r="K177" s="15">
        <f t="shared" si="71"/>
        <v>196.51769621634432</v>
      </c>
      <c r="L177" s="26">
        <v>29281.875068805981</v>
      </c>
      <c r="M177" s="15">
        <f t="shared" si="72"/>
        <v>38116.519601693632</v>
      </c>
      <c r="N177" s="15">
        <v>113.4799310625007</v>
      </c>
      <c r="O177" s="15">
        <f t="shared" si="73"/>
        <v>147.71799984047362</v>
      </c>
      <c r="P177" s="27">
        <v>4.153146622734762</v>
      </c>
      <c r="Q177" s="19">
        <f t="shared" si="74"/>
        <v>54.061939094473566</v>
      </c>
      <c r="R177" s="27">
        <v>1.9018121911037893</v>
      </c>
      <c r="S177" s="19">
        <f t="shared" si="75"/>
        <v>24.75608597147923</v>
      </c>
      <c r="T177" s="27">
        <v>23.379177446287098</v>
      </c>
      <c r="U177" s="15">
        <f t="shared" si="76"/>
        <v>30.432917062480094</v>
      </c>
      <c r="V177" s="27">
        <v>675.72363183086975</v>
      </c>
      <c r="W177" s="15">
        <f t="shared" si="77"/>
        <v>879.59643969136084</v>
      </c>
      <c r="X177" s="27">
        <v>166.63113350776885</v>
      </c>
      <c r="Y177" s="15">
        <f t="shared" si="78"/>
        <v>216.90546973774414</v>
      </c>
      <c r="Z177" s="27">
        <v>5.3060317062186835</v>
      </c>
      <c r="AA177" s="15">
        <f t="shared" si="79"/>
        <v>6.9069163454203402</v>
      </c>
      <c r="AB177" s="24">
        <v>3296.43438635028</v>
      </c>
      <c r="AC177" s="15">
        <f t="shared" si="80"/>
        <v>4291.0027314770905</v>
      </c>
      <c r="AD177" s="24">
        <v>684.33577078335588</v>
      </c>
      <c r="AE177" s="15">
        <f t="shared" si="81"/>
        <v>890.80695003004632</v>
      </c>
      <c r="AF177" s="24">
        <v>513.00133915238405</v>
      </c>
      <c r="AG177" s="15">
        <f t="shared" si="82"/>
        <v>667.77914848518856</v>
      </c>
      <c r="AH177" s="24">
        <v>17.834812181469601</v>
      </c>
      <c r="AI177" s="15">
        <f t="shared" si="83"/>
        <v>23.215759459055388</v>
      </c>
    </row>
    <row r="178" spans="1:35" x14ac:dyDescent="0.45">
      <c r="A178" s="11" t="s">
        <v>2</v>
      </c>
      <c r="B178" s="11" t="s">
        <v>7</v>
      </c>
      <c r="C178" s="10" t="s">
        <v>4</v>
      </c>
      <c r="D178" t="s">
        <v>63</v>
      </c>
      <c r="E178" t="s">
        <v>52</v>
      </c>
      <c r="F178" t="s">
        <v>47</v>
      </c>
      <c r="G178" s="12">
        <v>1.3017103417089302</v>
      </c>
      <c r="H178" s="25">
        <v>0.16525558057108783</v>
      </c>
      <c r="I178" s="19">
        <f t="shared" si="70"/>
        <v>2151.1489825449835</v>
      </c>
      <c r="J178" s="15">
        <v>92.406406124448964</v>
      </c>
      <c r="K178" s="15">
        <f t="shared" si="71"/>
        <v>120.28637449235063</v>
      </c>
      <c r="L178" s="26">
        <v>29033.093816127548</v>
      </c>
      <c r="M178" s="15">
        <f t="shared" si="72"/>
        <v>37792.67847225882</v>
      </c>
      <c r="N178" s="15">
        <v>101.355675186051</v>
      </c>
      <c r="O178" s="15">
        <f t="shared" si="73"/>
        <v>131.93573058057379</v>
      </c>
      <c r="P178" s="27">
        <v>4.6199873101643423</v>
      </c>
      <c r="Q178" s="19">
        <f t="shared" si="74"/>
        <v>60.138852602049475</v>
      </c>
      <c r="R178" s="27">
        <v>1.7943700713584723</v>
      </c>
      <c r="S178" s="19">
        <f t="shared" si="75"/>
        <v>23.35750078740314</v>
      </c>
      <c r="T178" s="27">
        <v>17.651254948382633</v>
      </c>
      <c r="U178" s="15">
        <f t="shared" si="76"/>
        <v>22.976821110450604</v>
      </c>
      <c r="V178" s="27">
        <v>105.64995377716269</v>
      </c>
      <c r="W178" s="15">
        <f t="shared" si="77"/>
        <v>137.52563743280314</v>
      </c>
      <c r="X178" s="27">
        <v>47.187455100330908</v>
      </c>
      <c r="Y178" s="15">
        <f t="shared" si="78"/>
        <v>61.42439830302655</v>
      </c>
      <c r="Z178" s="27">
        <v>9.3834453566416318</v>
      </c>
      <c r="AA178" s="15">
        <f t="shared" si="79"/>
        <v>12.214527861601052</v>
      </c>
      <c r="AB178" s="24">
        <v>2911.2900804091919</v>
      </c>
      <c r="AC178" s="15">
        <f t="shared" si="80"/>
        <v>3789.6564053832681</v>
      </c>
      <c r="AD178" s="24">
        <v>305.40781497480623</v>
      </c>
      <c r="AE178" s="15">
        <f t="shared" si="81"/>
        <v>397.55251119143276</v>
      </c>
      <c r="AF178" s="24">
        <v>541.40476290988374</v>
      </c>
      <c r="AG178" s="15">
        <f t="shared" si="82"/>
        <v>704.75217893026706</v>
      </c>
      <c r="AH178" s="24">
        <v>11.204897107841918</v>
      </c>
      <c r="AI178" s="15">
        <f t="shared" si="83"/>
        <v>14.585530443062305</v>
      </c>
    </row>
    <row r="179" spans="1:35" x14ac:dyDescent="0.45">
      <c r="A179" s="11" t="s">
        <v>2</v>
      </c>
      <c r="B179" s="11" t="s">
        <v>7</v>
      </c>
      <c r="C179" s="10" t="s">
        <v>4</v>
      </c>
      <c r="D179" t="s">
        <v>63</v>
      </c>
      <c r="E179" t="s">
        <v>53</v>
      </c>
      <c r="F179" t="s">
        <v>47</v>
      </c>
      <c r="G179" s="12">
        <v>1.3017103417089302</v>
      </c>
      <c r="H179" s="25">
        <v>0.22871810076594762</v>
      </c>
      <c r="I179" s="19">
        <f t="shared" si="70"/>
        <v>2977.2471710305922</v>
      </c>
      <c r="J179" s="15">
        <v>137.36388653916441</v>
      </c>
      <c r="K179" s="15">
        <f t="shared" si="71"/>
        <v>178.80799168536242</v>
      </c>
      <c r="L179" s="26">
        <v>27566.222128607824</v>
      </c>
      <c r="M179" s="15">
        <f t="shared" si="72"/>
        <v>35883.236426654366</v>
      </c>
      <c r="N179" s="15">
        <v>110.26488851443131</v>
      </c>
      <c r="O179" s="15">
        <f t="shared" si="73"/>
        <v>143.53294570661748</v>
      </c>
      <c r="P179" s="27">
        <v>4.9012275720560838</v>
      </c>
      <c r="Q179" s="19">
        <f t="shared" si="74"/>
        <v>63.799786176143556</v>
      </c>
      <c r="R179" s="27">
        <v>2.4045688505911893</v>
      </c>
      <c r="S179" s="19">
        <f t="shared" si="75"/>
        <v>31.300521401657065</v>
      </c>
      <c r="T179" s="27">
        <v>31.444039988263405</v>
      </c>
      <c r="U179" s="15">
        <f t="shared" si="76"/>
        <v>40.931032037831628</v>
      </c>
      <c r="V179" s="27">
        <v>158.26180241658955</v>
      </c>
      <c r="W179" s="15">
        <f t="shared" si="77"/>
        <v>206.01102490316998</v>
      </c>
      <c r="X179" s="27">
        <v>82.458607628928064</v>
      </c>
      <c r="Y179" s="15">
        <f t="shared" si="78"/>
        <v>107.33722231349455</v>
      </c>
      <c r="Z179" s="27">
        <v>25.858236362685812</v>
      </c>
      <c r="AA179" s="15">
        <f t="shared" si="79"/>
        <v>33.659933691662033</v>
      </c>
      <c r="AB179" s="24">
        <v>3332.6301048406399</v>
      </c>
      <c r="AC179" s="15">
        <f t="shared" si="80"/>
        <v>4338.119072561577</v>
      </c>
      <c r="AD179" s="24">
        <v>451.24036728115505</v>
      </c>
      <c r="AE179" s="15">
        <f t="shared" si="81"/>
        <v>587.38425268641561</v>
      </c>
      <c r="AF179" s="24">
        <v>679.41860289044666</v>
      </c>
      <c r="AG179" s="15">
        <f t="shared" si="82"/>
        <v>884.4062217319273</v>
      </c>
      <c r="AH179" s="24">
        <v>9.4238634527424914</v>
      </c>
      <c r="AI179" s="15">
        <f t="shared" si="83"/>
        <v>12.267140515287727</v>
      </c>
    </row>
    <row r="180" spans="1:35" x14ac:dyDescent="0.45">
      <c r="A180" s="11" t="s">
        <v>2</v>
      </c>
      <c r="B180" s="11" t="s">
        <v>7</v>
      </c>
      <c r="C180" s="10" t="s">
        <v>4</v>
      </c>
      <c r="D180" t="s">
        <v>63</v>
      </c>
      <c r="E180" t="s">
        <v>54</v>
      </c>
      <c r="F180" t="s">
        <v>47</v>
      </c>
      <c r="G180" s="12">
        <v>1.3017103417089302</v>
      </c>
      <c r="H180" s="25">
        <v>0.17736697294630865</v>
      </c>
      <c r="I180" s="19">
        <f t="shared" si="70"/>
        <v>2308.8042296181798</v>
      </c>
      <c r="J180" s="15">
        <v>151.08095867617573</v>
      </c>
      <c r="K180" s="15">
        <f t="shared" si="71"/>
        <v>196.66364634407748</v>
      </c>
      <c r="L180" s="26">
        <v>31184.659419056781</v>
      </c>
      <c r="M180" s="15">
        <f t="shared" si="72"/>
        <v>40593.393668457007</v>
      </c>
      <c r="N180" s="15">
        <v>118.15305742624001</v>
      </c>
      <c r="O180" s="15">
        <f t="shared" si="73"/>
        <v>153.80105675626572</v>
      </c>
      <c r="P180" s="27">
        <v>4.3435930574229937</v>
      </c>
      <c r="Q180" s="19">
        <f t="shared" si="74"/>
        <v>56.541000030226222</v>
      </c>
      <c r="R180" s="27">
        <v>1.9247675396637436</v>
      </c>
      <c r="S180" s="19">
        <f t="shared" si="75"/>
        <v>25.054898117659487</v>
      </c>
      <c r="T180" s="27">
        <v>41.15414982107098</v>
      </c>
      <c r="U180" s="15">
        <f t="shared" si="76"/>
        <v>53.570782426326808</v>
      </c>
      <c r="V180" s="27">
        <v>299.57689731432799</v>
      </c>
      <c r="W180" s="15">
        <f t="shared" si="77"/>
        <v>389.96234537113497</v>
      </c>
      <c r="X180" s="27">
        <v>164.12306769228064</v>
      </c>
      <c r="Y180" s="15">
        <f t="shared" si="78"/>
        <v>213.64069452803651</v>
      </c>
      <c r="Z180" s="27">
        <v>26.862553084049413</v>
      </c>
      <c r="AA180" s="15">
        <f t="shared" si="79"/>
        <v>34.967263154212233</v>
      </c>
      <c r="AB180" s="24">
        <v>2852.3138879632397</v>
      </c>
      <c r="AC180" s="15">
        <f t="shared" si="80"/>
        <v>3712.8864857617559</v>
      </c>
      <c r="AD180" s="24">
        <v>702.68662749961834</v>
      </c>
      <c r="AE180" s="15">
        <f t="shared" si="81"/>
        <v>914.69444999682389</v>
      </c>
      <c r="AF180" s="24">
        <v>651.22225478133635</v>
      </c>
      <c r="AG180" s="15">
        <f t="shared" si="82"/>
        <v>847.70274379987336</v>
      </c>
      <c r="AH180" s="24">
        <v>8.9072952781641757</v>
      </c>
      <c r="AI180" s="15">
        <f t="shared" si="83"/>
        <v>11.59471838024143</v>
      </c>
    </row>
    <row r="181" spans="1:35" x14ac:dyDescent="0.45">
      <c r="A181" s="11" t="s">
        <v>2</v>
      </c>
      <c r="B181" s="11" t="s">
        <v>7</v>
      </c>
      <c r="C181" s="10" t="s">
        <v>4</v>
      </c>
      <c r="D181" t="s">
        <v>63</v>
      </c>
      <c r="E181" t="s">
        <v>55</v>
      </c>
      <c r="F181" t="s">
        <v>47</v>
      </c>
      <c r="G181" s="12">
        <v>1.3017103417089302</v>
      </c>
      <c r="H181" s="25">
        <v>0.24073124999659368</v>
      </c>
      <c r="I181" s="19">
        <f t="shared" ref="I181:I212" si="84">G181*0.1*10000*H181/100*1000</f>
        <v>3133.6235769308382</v>
      </c>
      <c r="J181" s="15">
        <v>132.03452407028541</v>
      </c>
      <c r="K181" s="15">
        <f t="shared" ref="K181:K212" si="85">G181*0.1*10000*1000*J181/1000000</f>
        <v>171.8707054449072</v>
      </c>
      <c r="L181" s="26">
        <v>32051.128743779209</v>
      </c>
      <c r="M181" s="15">
        <f t="shared" ref="M181:M212" si="86">G181*0.1*10000*1000*L181/1000000</f>
        <v>41721.285749221752</v>
      </c>
      <c r="N181" s="15">
        <v>122.96344989751773</v>
      </c>
      <c r="O181" s="15">
        <f t="shared" ref="O181:O212" si="87">G181*0.1*10000*1000*N181/1000000</f>
        <v>160.06279438380673</v>
      </c>
      <c r="P181" s="27">
        <v>4.8057240701053878</v>
      </c>
      <c r="Q181" s="19">
        <f t="shared" ref="Q181:Q212" si="88">G181*0.1*10000*P181/100</f>
        <v>62.556607214557154</v>
      </c>
      <c r="R181" s="27">
        <v>2.119869718290599</v>
      </c>
      <c r="S181" s="19">
        <f t="shared" ref="S181:S212" si="89">G181*0.1*10000*R181/100</f>
        <v>27.594563353744693</v>
      </c>
      <c r="T181" s="27">
        <v>23.945328179182955</v>
      </c>
      <c r="U181" s="15">
        <f t="shared" ref="U181:U212" si="90">G181*0.1*10000*1000*T181/1000000</f>
        <v>31.169881326456718</v>
      </c>
      <c r="V181" s="27">
        <v>120.43777052947162</v>
      </c>
      <c r="W181" s="15">
        <f t="shared" ref="W181:W212" si="91">G181*0.1*10000*1000*V181/1000000</f>
        <v>156.77509143058023</v>
      </c>
      <c r="X181" s="27">
        <v>49.765216696721467</v>
      </c>
      <c r="Y181" s="15">
        <f t="shared" ref="Y181:Y212" si="92">G181*0.1*10000*1000*X181/1000000</f>
        <v>64.779897231508258</v>
      </c>
      <c r="Z181" s="27">
        <v>11.077052473446386</v>
      </c>
      <c r="AA181" s="15">
        <f t="shared" ref="AA181:AA212" si="93">G181*0.1*10000*1000*Z181/1000000</f>
        <v>14.419113760337645</v>
      </c>
      <c r="AB181" s="24">
        <v>4025.4522063485106</v>
      </c>
      <c r="AC181" s="15">
        <f t="shared" ref="AC181:AC212" si="94">G181*0.1*10000*1000*AB181/1000000</f>
        <v>5239.9727670588863</v>
      </c>
      <c r="AD181" s="24">
        <v>382.36751533987109</v>
      </c>
      <c r="AE181" s="15">
        <f t="shared" ref="AE181:AE212" si="95">G181*0.1*10000*1000*AD181/1000000</f>
        <v>497.73174905145822</v>
      </c>
      <c r="AF181" s="24">
        <v>600.28673252565511</v>
      </c>
      <c r="AG181" s="15">
        <f t="shared" ref="AG181:AG212" si="96">G181*0.1*10000*1000*AF181/1000000</f>
        <v>781.39944771930766</v>
      </c>
      <c r="AH181" s="24">
        <v>9.6953873942378905</v>
      </c>
      <c r="AI181" s="15">
        <f t="shared" ref="AI181:AI212" si="97">G181*0.1*10000*1000*AH181/1000000</f>
        <v>12.62058603795386</v>
      </c>
    </row>
    <row r="182" spans="1:35" x14ac:dyDescent="0.45">
      <c r="A182" s="11" t="s">
        <v>2</v>
      </c>
      <c r="B182" s="11" t="s">
        <v>7</v>
      </c>
      <c r="C182" s="10" t="s">
        <v>4</v>
      </c>
      <c r="D182" t="s">
        <v>63</v>
      </c>
      <c r="E182" t="s">
        <v>56</v>
      </c>
      <c r="F182" t="s">
        <v>47</v>
      </c>
      <c r="G182" s="12">
        <v>1.3017103417089302</v>
      </c>
      <c r="H182" s="25">
        <v>0.26489683372621231</v>
      </c>
      <c r="I182" s="19">
        <f t="shared" si="84"/>
        <v>3448.1894794736149</v>
      </c>
      <c r="J182" s="15">
        <v>133.43798736667338</v>
      </c>
      <c r="K182" s="15">
        <f t="shared" si="85"/>
        <v>173.69760813202433</v>
      </c>
      <c r="L182" s="26">
        <v>30623.538107891232</v>
      </c>
      <c r="M182" s="15">
        <f t="shared" si="86"/>
        <v>39862.976254759546</v>
      </c>
      <c r="N182" s="15">
        <v>132.47800184604986</v>
      </c>
      <c r="O182" s="15">
        <f t="shared" si="87"/>
        <v>172.44798505193785</v>
      </c>
      <c r="P182" s="27">
        <v>5.6816935035208909</v>
      </c>
      <c r="Q182" s="19">
        <f t="shared" si="88"/>
        <v>73.959191919535883</v>
      </c>
      <c r="R182" s="27">
        <v>3.3271178173770983</v>
      </c>
      <c r="S182" s="19">
        <f t="shared" si="89"/>
        <v>43.309436709638128</v>
      </c>
      <c r="T182" s="27">
        <v>35.5089468600478</v>
      </c>
      <c r="U182" s="15">
        <f t="shared" si="90"/>
        <v>46.222363350917064</v>
      </c>
      <c r="V182" s="27">
        <v>13.975202938472131</v>
      </c>
      <c r="W182" s="15">
        <f t="shared" si="91"/>
        <v>18.191666192490207</v>
      </c>
      <c r="X182" s="27">
        <v>89.197182194297071</v>
      </c>
      <c r="Y182" s="15">
        <f t="shared" si="92"/>
        <v>116.10889451361216</v>
      </c>
      <c r="Z182" s="27">
        <v>35.756460328020438</v>
      </c>
      <c r="AA182" s="15">
        <f t="shared" si="93"/>
        <v>46.54455419188929</v>
      </c>
      <c r="AB182" s="24">
        <v>3614.5492974581971</v>
      </c>
      <c r="AC182" s="15">
        <f t="shared" si="94"/>
        <v>4705.0962011180827</v>
      </c>
      <c r="AD182" s="24">
        <v>504.9737989096011</v>
      </c>
      <c r="AE182" s="15">
        <f t="shared" si="95"/>
        <v>657.32961633267348</v>
      </c>
      <c r="AF182" s="24">
        <v>786.49915268766324</v>
      </c>
      <c r="AG182" s="15">
        <f t="shared" si="96"/>
        <v>1023.7940807988422</v>
      </c>
      <c r="AH182" s="24">
        <v>5.975031109905026</v>
      </c>
      <c r="AI182" s="15">
        <f t="shared" si="97"/>
        <v>7.7777597877959597</v>
      </c>
    </row>
    <row r="183" spans="1:35" x14ac:dyDescent="0.45">
      <c r="A183" s="11" t="s">
        <v>2</v>
      </c>
      <c r="B183" s="11" t="s">
        <v>7</v>
      </c>
      <c r="C183" s="10" t="s">
        <v>4</v>
      </c>
      <c r="D183" t="s">
        <v>63</v>
      </c>
      <c r="E183" t="s">
        <v>57</v>
      </c>
      <c r="F183" t="s">
        <v>47</v>
      </c>
      <c r="G183" s="12">
        <v>1.3017103417089302</v>
      </c>
      <c r="H183" s="25">
        <v>0.33780830166162201</v>
      </c>
      <c r="I183" s="19">
        <f t="shared" si="84"/>
        <v>4397.2855978806338</v>
      </c>
      <c r="J183" s="15">
        <v>161.81899185336047</v>
      </c>
      <c r="K183" s="15">
        <f t="shared" si="85"/>
        <v>210.64145518043247</v>
      </c>
      <c r="L183" s="26">
        <v>31364.915704910618</v>
      </c>
      <c r="M183" s="15">
        <f t="shared" si="86"/>
        <v>40828.035139910993</v>
      </c>
      <c r="N183" s="15">
        <v>140.84245587236933</v>
      </c>
      <c r="O183" s="15">
        <f t="shared" si="87"/>
        <v>183.33608136074679</v>
      </c>
      <c r="P183" s="27">
        <v>5.6649592668024438</v>
      </c>
      <c r="Q183" s="19">
        <f t="shared" si="88"/>
        <v>73.741360629565804</v>
      </c>
      <c r="R183" s="27">
        <v>3.8629429735234213</v>
      </c>
      <c r="S183" s="19">
        <f t="shared" si="89"/>
        <v>50.284328180672837</v>
      </c>
      <c r="T183" s="27">
        <v>60.230306119768976</v>
      </c>
      <c r="U183" s="15">
        <f t="shared" si="90"/>
        <v>78.402412360397946</v>
      </c>
      <c r="V183" s="27">
        <v>13.136570353034999</v>
      </c>
      <c r="W183" s="15">
        <f t="shared" si="91"/>
        <v>17.100009483132588</v>
      </c>
      <c r="X183" s="27">
        <v>62.403545911214096</v>
      </c>
      <c r="Y183" s="15">
        <f t="shared" si="92"/>
        <v>81.231341071935418</v>
      </c>
      <c r="Z183" s="27">
        <v>31.554854559352101</v>
      </c>
      <c r="AA183" s="15">
        <f t="shared" si="93"/>
        <v>41.075280511029817</v>
      </c>
      <c r="AB183" s="24">
        <v>4603.7566840421059</v>
      </c>
      <c r="AC183" s="15">
        <f t="shared" si="94"/>
        <v>5992.7576863292206</v>
      </c>
      <c r="AD183" s="24">
        <v>502.13540823733587</v>
      </c>
      <c r="AE183" s="15">
        <f t="shared" si="95"/>
        <v>653.63485384077558</v>
      </c>
      <c r="AF183" s="24">
        <v>767.97180083357239</v>
      </c>
      <c r="AG183" s="15">
        <f t="shared" si="96"/>
        <v>999.67683528589203</v>
      </c>
      <c r="AH183" s="24">
        <v>30.75961324293619</v>
      </c>
      <c r="AI183" s="15">
        <f t="shared" si="97"/>
        <v>40.040106665297003</v>
      </c>
    </row>
    <row r="184" spans="1:35" x14ac:dyDescent="0.45">
      <c r="A184" s="11" t="s">
        <v>2</v>
      </c>
      <c r="B184" s="11" t="s">
        <v>7</v>
      </c>
      <c r="C184" s="10" t="s">
        <v>4</v>
      </c>
      <c r="D184" t="s">
        <v>63</v>
      </c>
      <c r="E184" t="s">
        <v>51</v>
      </c>
      <c r="F184" t="s">
        <v>48</v>
      </c>
      <c r="G184" s="12">
        <v>1.3017103417089302</v>
      </c>
      <c r="H184" s="25">
        <v>0.17416338272255932</v>
      </c>
      <c r="I184" s="19">
        <f t="shared" si="84"/>
        <v>2267.1027643696584</v>
      </c>
      <c r="J184" s="15">
        <v>133.02570006965564</v>
      </c>
      <c r="K184" s="15">
        <f t="shared" si="85"/>
        <v>173.16092949374109</v>
      </c>
      <c r="L184" s="26">
        <v>25949.379520630009</v>
      </c>
      <c r="M184" s="15">
        <f t="shared" si="86"/>
        <v>33778.575682934003</v>
      </c>
      <c r="N184" s="15">
        <v>112.41608456590617</v>
      </c>
      <c r="O184" s="15">
        <f t="shared" si="87"/>
        <v>146.33317985386572</v>
      </c>
      <c r="P184" s="27">
        <v>4.402063983488131</v>
      </c>
      <c r="Q184" s="19">
        <f t="shared" si="88"/>
        <v>57.30212212170909</v>
      </c>
      <c r="R184" s="27">
        <v>1.8222497420020638</v>
      </c>
      <c r="S184" s="19">
        <f t="shared" si="89"/>
        <v>23.720413343405163</v>
      </c>
      <c r="T184" s="27">
        <v>30.361708559522693</v>
      </c>
      <c r="U184" s="15">
        <f t="shared" si="90"/>
        <v>39.522150023883242</v>
      </c>
      <c r="V184" s="27">
        <v>9.2948393337437025</v>
      </c>
      <c r="W184" s="15">
        <f t="shared" si="91"/>
        <v>12.099188485257121</v>
      </c>
      <c r="X184" s="27">
        <v>32.867835313928651</v>
      </c>
      <c r="Y184" s="15">
        <f t="shared" si="92"/>
        <v>42.78440113772691</v>
      </c>
      <c r="Z184" s="27">
        <v>10.879073006593224</v>
      </c>
      <c r="AA184" s="15">
        <f t="shared" si="93"/>
        <v>14.161401840888864</v>
      </c>
      <c r="AB184" s="24">
        <v>3317.1997751091972</v>
      </c>
      <c r="AC184" s="15">
        <f t="shared" si="94"/>
        <v>4318.0332527741793</v>
      </c>
      <c r="AD184" s="24">
        <v>270.77142742608203</v>
      </c>
      <c r="AE184" s="15">
        <f t="shared" si="95"/>
        <v>352.46596731982004</v>
      </c>
      <c r="AF184" s="24">
        <v>422.64322435879222</v>
      </c>
      <c r="AG184" s="15">
        <f t="shared" si="96"/>
        <v>550.15905600104747</v>
      </c>
      <c r="AH184" s="24">
        <v>11.690131737583613</v>
      </c>
      <c r="AI184" s="15">
        <f t="shared" si="97"/>
        <v>15.217165378752375</v>
      </c>
    </row>
    <row r="185" spans="1:35" x14ac:dyDescent="0.45">
      <c r="A185" s="11" t="s">
        <v>2</v>
      </c>
      <c r="B185" s="11" t="s">
        <v>7</v>
      </c>
      <c r="C185" s="10" t="s">
        <v>4</v>
      </c>
      <c r="D185" t="s">
        <v>63</v>
      </c>
      <c r="E185" t="s">
        <v>52</v>
      </c>
      <c r="F185" t="s">
        <v>48</v>
      </c>
      <c r="G185" s="12">
        <v>1.3017103417089302</v>
      </c>
      <c r="H185" s="25">
        <v>0.1438843299921832</v>
      </c>
      <c r="I185" s="19">
        <f t="shared" si="84"/>
        <v>1872.9572036068528</v>
      </c>
      <c r="J185" s="15">
        <v>163.7704217299661</v>
      </c>
      <c r="K185" s="15">
        <f t="shared" si="85"/>
        <v>213.18165163192978</v>
      </c>
      <c r="L185" s="26">
        <v>31059.907569476327</v>
      </c>
      <c r="M185" s="15">
        <f t="shared" si="86"/>
        <v>40431.002895710815</v>
      </c>
      <c r="N185" s="15">
        <v>120.47479299675668</v>
      </c>
      <c r="O185" s="15">
        <f t="shared" si="87"/>
        <v>156.82328395912074</v>
      </c>
      <c r="P185" s="27">
        <v>3.5959843290891289</v>
      </c>
      <c r="Q185" s="19">
        <f t="shared" si="88"/>
        <v>46.809299897985682</v>
      </c>
      <c r="R185" s="27">
        <v>1.335651322233105</v>
      </c>
      <c r="S185" s="19">
        <f t="shared" si="89"/>
        <v>17.386311390680397</v>
      </c>
      <c r="T185" s="27">
        <v>16.848986520783789</v>
      </c>
      <c r="U185" s="15">
        <f t="shared" si="90"/>
        <v>21.932500001418624</v>
      </c>
      <c r="V185" s="27">
        <v>9.9472431218819484</v>
      </c>
      <c r="W185" s="15">
        <f t="shared" si="91"/>
        <v>12.948429243246757</v>
      </c>
      <c r="X185" s="27">
        <v>32.852346915826878</v>
      </c>
      <c r="Y185" s="15">
        <f t="shared" si="92"/>
        <v>42.764239729741327</v>
      </c>
      <c r="Z185" s="27">
        <v>11.310157823653096</v>
      </c>
      <c r="AA185" s="15">
        <f t="shared" si="93"/>
        <v>14.722549405409403</v>
      </c>
      <c r="AB185" s="24">
        <v>3158.7472146413979</v>
      </c>
      <c r="AC185" s="15">
        <f t="shared" si="94"/>
        <v>4111.7739161429854</v>
      </c>
      <c r="AD185" s="24">
        <v>304.13943769457427</v>
      </c>
      <c r="AE185" s="15">
        <f t="shared" si="95"/>
        <v>395.90145136856614</v>
      </c>
      <c r="AF185" s="24">
        <v>459.63194764131805</v>
      </c>
      <c r="AG185" s="15">
        <f t="shared" si="96"/>
        <v>598.30765962452131</v>
      </c>
      <c r="AH185" s="24">
        <v>13.104400209348215</v>
      </c>
      <c r="AI185" s="15">
        <f t="shared" si="97"/>
        <v>17.058133274401239</v>
      </c>
    </row>
    <row r="186" spans="1:35" x14ac:dyDescent="0.45">
      <c r="A186" s="11" t="s">
        <v>2</v>
      </c>
      <c r="B186" s="11" t="s">
        <v>7</v>
      </c>
      <c r="C186" s="10" t="s">
        <v>4</v>
      </c>
      <c r="D186" t="s">
        <v>63</v>
      </c>
      <c r="E186" t="s">
        <v>53</v>
      </c>
      <c r="F186" t="s">
        <v>48</v>
      </c>
      <c r="G186" s="12">
        <v>1.3017103417089302</v>
      </c>
      <c r="H186" s="25">
        <v>0.17687148771285729</v>
      </c>
      <c r="I186" s="19">
        <f t="shared" si="84"/>
        <v>2302.3544470927031</v>
      </c>
      <c r="J186" s="15">
        <v>164.41552593173725</v>
      </c>
      <c r="K186" s="15">
        <f t="shared" si="85"/>
        <v>214.02139044285519</v>
      </c>
      <c r="L186" s="26">
        <v>28456.533334339139</v>
      </c>
      <c r="M186" s="15">
        <f t="shared" si="86"/>
        <v>37042.163730494161</v>
      </c>
      <c r="N186" s="15">
        <v>113.82613333735657</v>
      </c>
      <c r="O186" s="15">
        <f t="shared" si="87"/>
        <v>148.16865492197667</v>
      </c>
      <c r="P186" s="27">
        <v>4.4380282415395804</v>
      </c>
      <c r="Q186" s="19">
        <f t="shared" si="88"/>
        <v>57.770272588083699</v>
      </c>
      <c r="R186" s="27">
        <v>1.647527885490331</v>
      </c>
      <c r="S186" s="19">
        <f t="shared" si="89"/>
        <v>21.446040867966097</v>
      </c>
      <c r="T186" s="27">
        <v>20.703800788607314</v>
      </c>
      <c r="U186" s="15">
        <f t="shared" si="90"/>
        <v>26.950351599211643</v>
      </c>
      <c r="V186" s="27">
        <v>9.1994042519095665</v>
      </c>
      <c r="W186" s="15">
        <f t="shared" si="91"/>
        <v>11.974959652271787</v>
      </c>
      <c r="X186" s="27">
        <v>60.282115375373245</v>
      </c>
      <c r="Y186" s="15">
        <f t="shared" si="92"/>
        <v>78.469853004214258</v>
      </c>
      <c r="Z186" s="27">
        <v>13.411297980905513</v>
      </c>
      <c r="AA186" s="15">
        <f t="shared" si="93"/>
        <v>17.457625277484802</v>
      </c>
      <c r="AB186" s="24">
        <v>2952.8303094725607</v>
      </c>
      <c r="AC186" s="15">
        <f t="shared" si="94"/>
        <v>3843.7297511520133</v>
      </c>
      <c r="AD186" s="24">
        <v>395.72973720110895</v>
      </c>
      <c r="AE186" s="15">
        <f t="shared" si="95"/>
        <v>515.12549143644071</v>
      </c>
      <c r="AF186" s="24">
        <v>524.94761057289963</v>
      </c>
      <c r="AG186" s="15">
        <f t="shared" si="96"/>
        <v>683.32973353813566</v>
      </c>
      <c r="AH186" s="24">
        <v>4.6235770315843849</v>
      </c>
      <c r="AI186" s="15">
        <f t="shared" si="97"/>
        <v>6.0185580377012702</v>
      </c>
    </row>
    <row r="187" spans="1:35" x14ac:dyDescent="0.45">
      <c r="A187" s="11" t="s">
        <v>2</v>
      </c>
      <c r="B187" s="11" t="s">
        <v>7</v>
      </c>
      <c r="C187" s="10" t="s">
        <v>4</v>
      </c>
      <c r="D187" t="s">
        <v>63</v>
      </c>
      <c r="E187" t="s">
        <v>54</v>
      </c>
      <c r="F187" t="s">
        <v>48</v>
      </c>
      <c r="G187" s="12">
        <v>1.3017103417089302</v>
      </c>
      <c r="H187" s="25">
        <v>0.19196825205390727</v>
      </c>
      <c r="I187" s="19">
        <f t="shared" si="84"/>
        <v>2498.8705897835766</v>
      </c>
      <c r="J187" s="15">
        <v>157.108101543304</v>
      </c>
      <c r="K187" s="15">
        <f t="shared" si="85"/>
        <v>204.50924054517554</v>
      </c>
      <c r="L187" s="26">
        <v>28719.761237533919</v>
      </c>
      <c r="M187" s="15">
        <f t="shared" si="86"/>
        <v>37384.810214309167</v>
      </c>
      <c r="N187" s="15">
        <v>121.0833139282789</v>
      </c>
      <c r="O187" s="15">
        <f t="shared" si="87"/>
        <v>157.6154019488296</v>
      </c>
      <c r="P187" s="27">
        <v>4.6196146232876707</v>
      </c>
      <c r="Q187" s="19">
        <f t="shared" si="88"/>
        <v>60.134001298433652</v>
      </c>
      <c r="R187" s="27">
        <v>1.966665205479452</v>
      </c>
      <c r="S187" s="19">
        <f t="shared" si="89"/>
        <v>25.600284366517208</v>
      </c>
      <c r="T187" s="27">
        <v>22.087717081638797</v>
      </c>
      <c r="U187" s="15">
        <f t="shared" si="90"/>
        <v>28.751809749910212</v>
      </c>
      <c r="V187" s="27">
        <v>13.605240657472997</v>
      </c>
      <c r="W187" s="15">
        <f t="shared" si="91"/>
        <v>17.710082465271405</v>
      </c>
      <c r="X187" s="27">
        <v>52.722692758201816</v>
      </c>
      <c r="Y187" s="15">
        <f t="shared" si="92"/>
        <v>68.629674406093827</v>
      </c>
      <c r="Z187" s="27">
        <v>19.47285847258232</v>
      </c>
      <c r="AA187" s="15">
        <f t="shared" si="93"/>
        <v>25.34802125639477</v>
      </c>
      <c r="AB187" s="24">
        <v>3278.8205514397541</v>
      </c>
      <c r="AC187" s="15">
        <f t="shared" si="94"/>
        <v>4268.0746204169054</v>
      </c>
      <c r="AD187" s="24">
        <v>406.58629088621751</v>
      </c>
      <c r="AE187" s="15">
        <f t="shared" si="95"/>
        <v>529.25757964366471</v>
      </c>
      <c r="AF187" s="24">
        <v>566.50326390830298</v>
      </c>
      <c r="AG187" s="15">
        <f t="shared" si="96"/>
        <v>737.42315724130128</v>
      </c>
      <c r="AH187" s="24">
        <v>9.5636621121051153</v>
      </c>
      <c r="AI187" s="15">
        <f t="shared" si="97"/>
        <v>12.449117875937098</v>
      </c>
    </row>
    <row r="188" spans="1:35" x14ac:dyDescent="0.45">
      <c r="A188" s="11" t="s">
        <v>2</v>
      </c>
      <c r="B188" s="11" t="s">
        <v>7</v>
      </c>
      <c r="C188" s="10" t="s">
        <v>4</v>
      </c>
      <c r="D188" t="s">
        <v>63</v>
      </c>
      <c r="E188" t="s">
        <v>55</v>
      </c>
      <c r="F188" t="s">
        <v>48</v>
      </c>
      <c r="G188" s="12">
        <v>1.3017103417089302</v>
      </c>
      <c r="H188" s="25">
        <v>9.1559891523589704E-2</v>
      </c>
      <c r="I188" s="19">
        <f t="shared" si="84"/>
        <v>1191.8445768200454</v>
      </c>
      <c r="J188" s="15">
        <v>157.55998780335935</v>
      </c>
      <c r="K188" s="15">
        <f t="shared" si="85"/>
        <v>205.09746556316577</v>
      </c>
      <c r="L188" s="26">
        <v>27380.851538998424</v>
      </c>
      <c r="M188" s="15">
        <f t="shared" si="86"/>
        <v>35641.937613111128</v>
      </c>
      <c r="N188" s="15">
        <v>114.32706432073026</v>
      </c>
      <c r="O188" s="15">
        <f t="shared" si="87"/>
        <v>148.82072196351663</v>
      </c>
      <c r="P188" s="27">
        <v>5.6535982257723933</v>
      </c>
      <c r="Q188" s="19">
        <f t="shared" si="88"/>
        <v>73.593472783551832</v>
      </c>
      <c r="R188" s="27">
        <v>2.4728079354104304</v>
      </c>
      <c r="S188" s="19">
        <f t="shared" si="89"/>
        <v>32.188796625836652</v>
      </c>
      <c r="T188" s="27">
        <v>26.574825372432009</v>
      </c>
      <c r="U188" s="15">
        <f t="shared" si="90"/>
        <v>34.59272501640362</v>
      </c>
      <c r="V188" s="27">
        <v>11.998783476292626</v>
      </c>
      <c r="W188" s="15">
        <f t="shared" si="91"/>
        <v>15.618940539016339</v>
      </c>
      <c r="X188" s="27">
        <v>60.144278076654764</v>
      </c>
      <c r="Y188" s="15">
        <f t="shared" si="92"/>
        <v>78.290428766999199</v>
      </c>
      <c r="Z188" s="27">
        <v>19.366457540682834</v>
      </c>
      <c r="AA188" s="15">
        <f t="shared" si="93"/>
        <v>25.209518062973743</v>
      </c>
      <c r="AB188" s="24">
        <v>3657.7188225488535</v>
      </c>
      <c r="AC188" s="15">
        <f t="shared" si="94"/>
        <v>4761.2904183752535</v>
      </c>
      <c r="AD188" s="24">
        <v>388.57324634350158</v>
      </c>
      <c r="AE188" s="15">
        <f t="shared" si="95"/>
        <v>505.80981327674778</v>
      </c>
      <c r="AF188" s="24">
        <v>407.57438308401504</v>
      </c>
      <c r="AG188" s="15">
        <f t="shared" si="96"/>
        <v>530.54378947609962</v>
      </c>
      <c r="AH188" s="24">
        <v>10.35561952357987</v>
      </c>
      <c r="AI188" s="15">
        <f t="shared" si="97"/>
        <v>13.480017028646822</v>
      </c>
    </row>
    <row r="189" spans="1:35" x14ac:dyDescent="0.45">
      <c r="A189" s="11" t="s">
        <v>2</v>
      </c>
      <c r="B189" s="11" t="s">
        <v>7</v>
      </c>
      <c r="C189" s="10" t="s">
        <v>4</v>
      </c>
      <c r="D189" t="s">
        <v>63</v>
      </c>
      <c r="E189" t="s">
        <v>56</v>
      </c>
      <c r="F189" t="s">
        <v>48</v>
      </c>
      <c r="G189" s="12">
        <v>1.3017103417089302</v>
      </c>
      <c r="H189" s="25">
        <v>0.15295580666029276</v>
      </c>
      <c r="I189" s="19">
        <f t="shared" si="84"/>
        <v>1991.0415535413474</v>
      </c>
      <c r="J189" s="15">
        <v>119.68407103100982</v>
      </c>
      <c r="K189" s="15">
        <f t="shared" si="85"/>
        <v>155.79399299889167</v>
      </c>
      <c r="L189" s="26">
        <v>31018.121742203381</v>
      </c>
      <c r="M189" s="15">
        <f t="shared" si="86"/>
        <v>40376.609852212758</v>
      </c>
      <c r="N189" s="15">
        <v>117.68933651382632</v>
      </c>
      <c r="O189" s="15">
        <f t="shared" si="87"/>
        <v>153.19742644891014</v>
      </c>
      <c r="P189" s="27">
        <v>4.0949007272727282</v>
      </c>
      <c r="Q189" s="19">
        <f t="shared" si="88"/>
        <v>53.303746249623302</v>
      </c>
      <c r="R189" s="27">
        <v>1.5086476363636363</v>
      </c>
      <c r="S189" s="19">
        <f t="shared" si="89"/>
        <v>19.638222302492789</v>
      </c>
      <c r="T189" s="27">
        <v>14.34428221043591</v>
      </c>
      <c r="U189" s="15">
        <f t="shared" si="90"/>
        <v>18.672100497715856</v>
      </c>
      <c r="V189" s="27">
        <v>6.8480756624541383</v>
      </c>
      <c r="W189" s="15">
        <f t="shared" si="91"/>
        <v>8.9142109106217848</v>
      </c>
      <c r="X189" s="27">
        <v>42.05491626579699</v>
      </c>
      <c r="Y189" s="15">
        <f t="shared" si="92"/>
        <v>54.743319422891048</v>
      </c>
      <c r="Z189" s="27">
        <v>9.2504247859763566</v>
      </c>
      <c r="AA189" s="15">
        <f t="shared" si="93"/>
        <v>12.041373609106042</v>
      </c>
      <c r="AB189" s="24">
        <v>3324.0422222222223</v>
      </c>
      <c r="AC189" s="15">
        <f t="shared" si="94"/>
        <v>4326.940136943801</v>
      </c>
      <c r="AD189" s="24">
        <v>391.51097643097643</v>
      </c>
      <c r="AE189" s="15">
        <f t="shared" si="95"/>
        <v>509.63388691276322</v>
      </c>
      <c r="AF189" s="24">
        <v>602.47077441077431</v>
      </c>
      <c r="AG189" s="15">
        <f t="shared" si="96"/>
        <v>784.24243762789285</v>
      </c>
      <c r="AH189" s="24">
        <v>12.448528619528618</v>
      </c>
      <c r="AI189" s="15">
        <f t="shared" si="97"/>
        <v>16.204378443099994</v>
      </c>
    </row>
    <row r="190" spans="1:35" x14ac:dyDescent="0.45">
      <c r="A190" s="11" t="s">
        <v>2</v>
      </c>
      <c r="B190" s="11" t="s">
        <v>7</v>
      </c>
      <c r="C190" s="10" t="s">
        <v>4</v>
      </c>
      <c r="D190" t="s">
        <v>63</v>
      </c>
      <c r="E190" t="s">
        <v>57</v>
      </c>
      <c r="F190" t="s">
        <v>48</v>
      </c>
      <c r="G190" s="12">
        <v>1.3017103417089302</v>
      </c>
      <c r="H190" s="25">
        <v>0.16221547162029851</v>
      </c>
      <c r="I190" s="19">
        <f t="shared" si="84"/>
        <v>2111.5755699333404</v>
      </c>
      <c r="J190" s="15">
        <v>112.12107362510227</v>
      </c>
      <c r="K190" s="15">
        <f t="shared" si="85"/>
        <v>145.94916106130401</v>
      </c>
      <c r="L190" s="26">
        <v>34840.928663668135</v>
      </c>
      <c r="M190" s="15">
        <f t="shared" si="86"/>
        <v>45352.797156239903</v>
      </c>
      <c r="N190" s="15">
        <v>128.8002416023902</v>
      </c>
      <c r="O190" s="15">
        <f t="shared" si="87"/>
        <v>167.66060650844011</v>
      </c>
      <c r="P190" s="27">
        <v>3.7439172386352331</v>
      </c>
      <c r="Q190" s="19">
        <f t="shared" si="88"/>
        <v>48.734957880338236</v>
      </c>
      <c r="R190" s="27">
        <v>1.6662488809310654</v>
      </c>
      <c r="S190" s="19">
        <f t="shared" si="89"/>
        <v>21.689734001688997</v>
      </c>
      <c r="T190" s="27">
        <v>13.253008355436076</v>
      </c>
      <c r="U190" s="15">
        <f t="shared" si="90"/>
        <v>17.251578035026004</v>
      </c>
      <c r="V190" s="27">
        <v>586.14254601859466</v>
      </c>
      <c r="W190" s="15">
        <f t="shared" si="91"/>
        <v>762.98781386800715</v>
      </c>
      <c r="X190" s="27">
        <v>155.48929161056375</v>
      </c>
      <c r="Y190" s="15">
        <f t="shared" si="92"/>
        <v>202.40201891446645</v>
      </c>
      <c r="Z190" s="27">
        <v>5.1010475167685891</v>
      </c>
      <c r="AA190" s="15">
        <f t="shared" si="93"/>
        <v>6.6400863061263298</v>
      </c>
      <c r="AB190" s="24">
        <v>3323.0034662442895</v>
      </c>
      <c r="AC190" s="15">
        <f t="shared" si="94"/>
        <v>4325.5879775448129</v>
      </c>
      <c r="AD190" s="24">
        <v>725.91801911407993</v>
      </c>
      <c r="AE190" s="15">
        <f t="shared" si="95"/>
        <v>944.93499271365874</v>
      </c>
      <c r="AF190" s="24">
        <v>688.33643229345989</v>
      </c>
      <c r="AG190" s="15">
        <f t="shared" si="96"/>
        <v>896.01465249142564</v>
      </c>
      <c r="AH190" s="24">
        <v>17.801804283451549</v>
      </c>
      <c r="AI190" s="15">
        <f t="shared" si="97"/>
        <v>23.172792736847214</v>
      </c>
    </row>
    <row r="191" spans="1:35" x14ac:dyDescent="0.45">
      <c r="A191" s="11" t="s">
        <v>2</v>
      </c>
      <c r="B191" s="11" t="s">
        <v>7</v>
      </c>
      <c r="C191" s="10" t="s">
        <v>4</v>
      </c>
      <c r="D191" t="s">
        <v>63</v>
      </c>
      <c r="E191" t="s">
        <v>51</v>
      </c>
      <c r="F191" t="s">
        <v>49</v>
      </c>
      <c r="G191" s="12">
        <v>1.3017103417089302</v>
      </c>
      <c r="H191" s="25">
        <v>9.155167147421045E-2</v>
      </c>
      <c r="I191" s="19">
        <f t="shared" si="84"/>
        <v>1191.7375755871819</v>
      </c>
      <c r="J191" s="15">
        <v>183.19699450780357</v>
      </c>
      <c r="K191" s="15">
        <f t="shared" si="85"/>
        <v>238.46942232080201</v>
      </c>
      <c r="L191" s="26">
        <v>26711.96400365181</v>
      </c>
      <c r="M191" s="15">
        <f t="shared" si="86"/>
        <v>34771.239790910244</v>
      </c>
      <c r="N191" s="15">
        <v>118.71984001623022</v>
      </c>
      <c r="O191" s="15">
        <f t="shared" si="87"/>
        <v>154.53884351515657</v>
      </c>
      <c r="P191" s="27">
        <v>4.9493625827814576</v>
      </c>
      <c r="Q191" s="19">
        <f t="shared" si="88"/>
        <v>64.426364588738437</v>
      </c>
      <c r="R191" s="27">
        <v>2.2637417218543052</v>
      </c>
      <c r="S191" s="19">
        <f t="shared" si="89"/>
        <v>29.467360102957297</v>
      </c>
      <c r="T191" s="27">
        <v>32.529791241861233</v>
      </c>
      <c r="U191" s="15">
        <f t="shared" si="90"/>
        <v>42.344365673163345</v>
      </c>
      <c r="V191" s="27">
        <v>626.79250310046905</v>
      </c>
      <c r="W191" s="15">
        <f t="shared" si="91"/>
        <v>815.90228339150724</v>
      </c>
      <c r="X191" s="27">
        <v>81.085126488331468</v>
      </c>
      <c r="Y191" s="15">
        <f t="shared" si="92"/>
        <v>105.54934770863778</v>
      </c>
      <c r="Z191" s="27">
        <v>2.1461316719816788</v>
      </c>
      <c r="AA191" s="15">
        <f t="shared" si="93"/>
        <v>2.7936417920876289</v>
      </c>
      <c r="AB191" s="24">
        <v>3152.0502426463677</v>
      </c>
      <c r="AC191" s="15">
        <f t="shared" si="94"/>
        <v>4103.0563984389191</v>
      </c>
      <c r="AD191" s="24">
        <v>692.12187556903666</v>
      </c>
      <c r="AE191" s="15">
        <f t="shared" si="95"/>
        <v>900.9422031511964</v>
      </c>
      <c r="AF191" s="24">
        <v>505.08756900236966</v>
      </c>
      <c r="AG191" s="15">
        <f t="shared" si="96"/>
        <v>657.47771203900743</v>
      </c>
      <c r="AH191" s="24">
        <v>12.247424135583776</v>
      </c>
      <c r="AI191" s="15">
        <f t="shared" si="97"/>
        <v>15.942598656584956</v>
      </c>
    </row>
    <row r="192" spans="1:35" x14ac:dyDescent="0.45">
      <c r="A192" s="11" t="s">
        <v>2</v>
      </c>
      <c r="B192" s="11" t="s">
        <v>7</v>
      </c>
      <c r="C192" s="10" t="s">
        <v>4</v>
      </c>
      <c r="D192" t="s">
        <v>63</v>
      </c>
      <c r="E192" t="s">
        <v>52</v>
      </c>
      <c r="F192" t="s">
        <v>49</v>
      </c>
      <c r="G192" s="12">
        <v>1.3017103417089302</v>
      </c>
      <c r="H192" s="25">
        <v>0.19395102419930821</v>
      </c>
      <c r="I192" s="19">
        <f t="shared" si="84"/>
        <v>2524.6805398527849</v>
      </c>
      <c r="J192" s="15">
        <v>185.39445759023459</v>
      </c>
      <c r="K192" s="15">
        <f t="shared" si="85"/>
        <v>241.32988274072605</v>
      </c>
      <c r="L192" s="26">
        <v>28552.729297319554</v>
      </c>
      <c r="M192" s="15">
        <f t="shared" si="86"/>
        <v>37167.383010336416</v>
      </c>
      <c r="N192" s="15">
        <v>114.0126343469357</v>
      </c>
      <c r="O192" s="15">
        <f t="shared" si="87"/>
        <v>148.41142521488496</v>
      </c>
      <c r="P192" s="27">
        <v>4.5089914914368476</v>
      </c>
      <c r="Q192" s="19">
        <f t="shared" si="88"/>
        <v>58.694008550809173</v>
      </c>
      <c r="R192" s="27">
        <v>1.9823128880348782</v>
      </c>
      <c r="S192" s="19">
        <f t="shared" si="89"/>
        <v>25.803971868578973</v>
      </c>
      <c r="T192" s="27">
        <v>22.137273565006154</v>
      </c>
      <c r="U192" s="15">
        <f t="shared" si="90"/>
        <v>28.816317936808229</v>
      </c>
      <c r="V192" s="27">
        <v>22.999330352183375</v>
      </c>
      <c r="W192" s="15">
        <f t="shared" si="91"/>
        <v>29.93846617181719</v>
      </c>
      <c r="X192" s="27">
        <v>52.794604876822518</v>
      </c>
      <c r="Y192" s="15">
        <f t="shared" si="92"/>
        <v>68.723283154596601</v>
      </c>
      <c r="Z192" s="27">
        <v>55.365770698745678</v>
      </c>
      <c r="AA192" s="15">
        <f t="shared" si="93"/>
        <v>72.070196295242525</v>
      </c>
      <c r="AB192" s="24">
        <v>3372.0054992479108</v>
      </c>
      <c r="AC192" s="15">
        <f t="shared" si="94"/>
        <v>4389.3744306703902</v>
      </c>
      <c r="AD192" s="24">
        <v>392.43167448143794</v>
      </c>
      <c r="AE192" s="15">
        <f t="shared" si="95"/>
        <v>510.83236908664026</v>
      </c>
      <c r="AF192" s="24">
        <v>499.9870223022765</v>
      </c>
      <c r="AG192" s="15">
        <f t="shared" si="96"/>
        <v>650.83827765112687</v>
      </c>
      <c r="AH192" s="28">
        <v>284.87632666059943</v>
      </c>
      <c r="AI192" s="15">
        <f t="shared" si="97"/>
        <v>370.82646052215375</v>
      </c>
    </row>
    <row r="193" spans="1:35" x14ac:dyDescent="0.45">
      <c r="A193" s="11" t="s">
        <v>2</v>
      </c>
      <c r="B193" s="11" t="s">
        <v>7</v>
      </c>
      <c r="C193" s="10" t="s">
        <v>4</v>
      </c>
      <c r="D193" t="s">
        <v>63</v>
      </c>
      <c r="E193" t="s">
        <v>53</v>
      </c>
      <c r="F193" t="s">
        <v>49</v>
      </c>
      <c r="G193" s="12">
        <v>1.3017103417089302</v>
      </c>
      <c r="H193" s="25">
        <v>0.13845005750568562</v>
      </c>
      <c r="I193" s="19">
        <f t="shared" si="84"/>
        <v>1802.2187166534707</v>
      </c>
      <c r="J193" s="15">
        <v>112.64514535430148</v>
      </c>
      <c r="K193" s="15">
        <f t="shared" si="85"/>
        <v>146.63135065099988</v>
      </c>
      <c r="L193" s="26">
        <v>30686.091320654548</v>
      </c>
      <c r="M193" s="15">
        <f t="shared" si="86"/>
        <v>39944.402418720674</v>
      </c>
      <c r="N193" s="15">
        <v>113.61622419356272</v>
      </c>
      <c r="O193" s="15">
        <f t="shared" si="87"/>
        <v>147.89541401868095</v>
      </c>
      <c r="P193" s="27">
        <v>4.1168809704172267</v>
      </c>
      <c r="Q193" s="19">
        <f t="shared" si="88"/>
        <v>53.589865347767997</v>
      </c>
      <c r="R193" s="27">
        <v>1.454221636316533</v>
      </c>
      <c r="S193" s="19">
        <f t="shared" si="89"/>
        <v>18.929753431301137</v>
      </c>
      <c r="T193" s="27">
        <v>14.783071288398322</v>
      </c>
      <c r="U193" s="15">
        <f t="shared" si="90"/>
        <v>19.243276778328458</v>
      </c>
      <c r="V193" s="27">
        <v>240.72226852039211</v>
      </c>
      <c r="W193" s="15">
        <f t="shared" si="91"/>
        <v>313.35066641262847</v>
      </c>
      <c r="X193" s="27">
        <v>35.095526041316397</v>
      </c>
      <c r="Y193" s="15">
        <f t="shared" si="92"/>
        <v>45.684209195696624</v>
      </c>
      <c r="Z193" s="27">
        <v>3.2848029299754264</v>
      </c>
      <c r="AA193" s="15">
        <f t="shared" si="93"/>
        <v>4.2758619444248067</v>
      </c>
      <c r="AB193" s="24">
        <v>3182.7413608971347</v>
      </c>
      <c r="AC193" s="15">
        <f t="shared" si="94"/>
        <v>4143.007344464555</v>
      </c>
      <c r="AD193" s="24">
        <v>291.16561345746652</v>
      </c>
      <c r="AE193" s="15">
        <f t="shared" si="95"/>
        <v>379.01329018760902</v>
      </c>
      <c r="AF193" s="24">
        <v>536.14633650443841</v>
      </c>
      <c r="AG193" s="15">
        <f t="shared" si="96"/>
        <v>697.90723089718369</v>
      </c>
      <c r="AH193" s="24">
        <v>18.975965842572819</v>
      </c>
      <c r="AI193" s="15">
        <f t="shared" si="97"/>
        <v>24.70121098119245</v>
      </c>
    </row>
    <row r="194" spans="1:35" x14ac:dyDescent="0.45">
      <c r="A194" s="11" t="s">
        <v>2</v>
      </c>
      <c r="B194" s="11" t="s">
        <v>7</v>
      </c>
      <c r="C194" s="10" t="s">
        <v>4</v>
      </c>
      <c r="D194" t="s">
        <v>63</v>
      </c>
      <c r="E194" t="s">
        <v>54</v>
      </c>
      <c r="F194" t="s">
        <v>49</v>
      </c>
      <c r="G194" s="12">
        <v>1.3017103417089302</v>
      </c>
      <c r="H194" s="25">
        <v>0.16948975345585027</v>
      </c>
      <c r="I194" s="19">
        <f t="shared" si="84"/>
        <v>2206.2656488717721</v>
      </c>
      <c r="J194" s="15">
        <v>158.74031697978808</v>
      </c>
      <c r="K194" s="15">
        <f t="shared" si="85"/>
        <v>206.63391225874383</v>
      </c>
      <c r="L194" s="26">
        <v>30189.876235419819</v>
      </c>
      <c r="M194" s="15">
        <f t="shared" si="86"/>
        <v>39298.474110558644</v>
      </c>
      <c r="N194" s="15">
        <v>127.57657376903214</v>
      </c>
      <c r="O194" s="15">
        <f t="shared" si="87"/>
        <v>166.06774543494134</v>
      </c>
      <c r="P194" s="27">
        <v>3.8667972575905969</v>
      </c>
      <c r="Q194" s="19">
        <f t="shared" si="88"/>
        <v>50.3344997949741</v>
      </c>
      <c r="R194" s="27">
        <v>1.6557296767874634</v>
      </c>
      <c r="S194" s="19">
        <f t="shared" si="89"/>
        <v>21.552804433486255</v>
      </c>
      <c r="T194" s="27">
        <v>19.5163344459977</v>
      </c>
      <c r="U194" s="15">
        <f t="shared" si="90"/>
        <v>25.40461438060543</v>
      </c>
      <c r="V194" s="27">
        <v>285.10318864926893</v>
      </c>
      <c r="W194" s="15">
        <f t="shared" si="91"/>
        <v>371.12176911894545</v>
      </c>
      <c r="X194" s="27">
        <v>129.48369287172233</v>
      </c>
      <c r="Y194" s="15">
        <f t="shared" si="92"/>
        <v>168.55026209378383</v>
      </c>
      <c r="Z194" s="27">
        <v>41.22911050043998</v>
      </c>
      <c r="AA194" s="15">
        <f t="shared" si="93"/>
        <v>53.668359517882962</v>
      </c>
      <c r="AB194" s="24">
        <v>2799.1386117445454</v>
      </c>
      <c r="AC194" s="15">
        <f t="shared" si="94"/>
        <v>3643.6676787846527</v>
      </c>
      <c r="AD194" s="24">
        <v>586.88606226243985</v>
      </c>
      <c r="AE194" s="15">
        <f t="shared" si="95"/>
        <v>763.95565665184904</v>
      </c>
      <c r="AF194" s="24">
        <v>538.36765965886752</v>
      </c>
      <c r="AG194" s="15">
        <f t="shared" si="96"/>
        <v>700.79875021958151</v>
      </c>
      <c r="AH194" s="24">
        <v>9.4237666595399698</v>
      </c>
      <c r="AI194" s="15">
        <f t="shared" si="97"/>
        <v>12.267014518574998</v>
      </c>
    </row>
    <row r="195" spans="1:35" x14ac:dyDescent="0.45">
      <c r="A195" s="11" t="s">
        <v>2</v>
      </c>
      <c r="B195" s="11" t="s">
        <v>7</v>
      </c>
      <c r="C195" s="10" t="s">
        <v>4</v>
      </c>
      <c r="D195" t="s">
        <v>63</v>
      </c>
      <c r="E195" t="s">
        <v>55</v>
      </c>
      <c r="F195" t="s">
        <v>49</v>
      </c>
      <c r="G195" s="12">
        <v>1.3017103417089302</v>
      </c>
      <c r="H195" s="25">
        <v>0.17022751196246882</v>
      </c>
      <c r="I195" s="19">
        <f t="shared" si="84"/>
        <v>2215.8691276492627</v>
      </c>
      <c r="J195" s="15">
        <v>144.35626545471848</v>
      </c>
      <c r="K195" s="15">
        <f t="shared" si="85"/>
        <v>187.91004363288661</v>
      </c>
      <c r="L195" s="26">
        <v>27103.625350681836</v>
      </c>
      <c r="M195" s="15">
        <f t="shared" si="86"/>
        <v>35281.069416786871</v>
      </c>
      <c r="N195" s="15">
        <v>106.05766441571154</v>
      </c>
      <c r="O195" s="15">
        <f t="shared" si="87"/>
        <v>138.05635858742693</v>
      </c>
      <c r="P195" s="27">
        <v>5.1866400925243124</v>
      </c>
      <c r="Q195" s="19">
        <f t="shared" si="88"/>
        <v>67.515030471610601</v>
      </c>
      <c r="R195" s="27">
        <v>1.752797343521062</v>
      </c>
      <c r="S195" s="19">
        <f t="shared" si="89"/>
        <v>22.816344289813063</v>
      </c>
      <c r="T195" s="27">
        <v>19.67046995491652</v>
      </c>
      <c r="U195" s="15">
        <f t="shared" si="90"/>
        <v>25.605254166589628</v>
      </c>
      <c r="V195" s="27">
        <v>182.52961178048437</v>
      </c>
      <c r="W195" s="15">
        <f t="shared" si="91"/>
        <v>237.60068332277268</v>
      </c>
      <c r="X195" s="27">
        <v>65.687182462001672</v>
      </c>
      <c r="Y195" s="15">
        <f t="shared" si="92"/>
        <v>85.505684728509038</v>
      </c>
      <c r="Z195" s="27">
        <v>10.423324285296829</v>
      </c>
      <c r="AA195" s="15">
        <f t="shared" si="93"/>
        <v>13.568149017156726</v>
      </c>
      <c r="AB195" s="24">
        <v>3380.6201576007879</v>
      </c>
      <c r="AC195" s="15">
        <f t="shared" si="94"/>
        <v>4400.5882205386188</v>
      </c>
      <c r="AD195" s="24">
        <v>400.15503906295049</v>
      </c>
      <c r="AE195" s="15">
        <f t="shared" si="95"/>
        <v>520.88595263518357</v>
      </c>
      <c r="AF195" s="24">
        <v>379.45736462865995</v>
      </c>
      <c r="AG195" s="15">
        <f t="shared" si="96"/>
        <v>493.94357577474307</v>
      </c>
      <c r="AH195" s="24">
        <v>11.038759698288288</v>
      </c>
      <c r="AI195" s="15">
        <f t="shared" si="97"/>
        <v>14.369267658901615</v>
      </c>
    </row>
    <row r="196" spans="1:35" x14ac:dyDescent="0.45">
      <c r="A196" s="11" t="s">
        <v>2</v>
      </c>
      <c r="B196" s="11" t="s">
        <v>7</v>
      </c>
      <c r="C196" s="10" t="s">
        <v>4</v>
      </c>
      <c r="D196" t="s">
        <v>63</v>
      </c>
      <c r="E196" t="s">
        <v>56</v>
      </c>
      <c r="F196" t="s">
        <v>49</v>
      </c>
      <c r="G196" s="12">
        <v>1.3017103417089302</v>
      </c>
      <c r="H196" s="25">
        <v>0.18688985148820875</v>
      </c>
      <c r="I196" s="19">
        <f t="shared" si="84"/>
        <v>2432.7645244264741</v>
      </c>
      <c r="J196" s="15">
        <v>161.91756268909111</v>
      </c>
      <c r="K196" s="15">
        <f t="shared" si="85"/>
        <v>210.76976585669394</v>
      </c>
      <c r="L196" s="26">
        <v>33510.786708438478</v>
      </c>
      <c r="M196" s="15">
        <f t="shared" si="86"/>
        <v>43621.337617176527</v>
      </c>
      <c r="N196" s="15">
        <v>133.2233110733028</v>
      </c>
      <c r="O196" s="15">
        <f t="shared" si="87"/>
        <v>173.41816178082411</v>
      </c>
      <c r="P196" s="27">
        <v>4.1709144312949427</v>
      </c>
      <c r="Q196" s="19">
        <f t="shared" si="88"/>
        <v>54.293224495996483</v>
      </c>
      <c r="R196" s="27">
        <v>1.6499194679078275</v>
      </c>
      <c r="S196" s="19">
        <f t="shared" si="89"/>
        <v>21.477172343625142</v>
      </c>
      <c r="T196" s="27">
        <v>18.972985322969148</v>
      </c>
      <c r="U196" s="15">
        <f t="shared" si="90"/>
        <v>24.697331208000687</v>
      </c>
      <c r="V196" s="27">
        <v>7.1058561612782913</v>
      </c>
      <c r="W196" s="15">
        <f t="shared" si="91"/>
        <v>9.2497664518320715</v>
      </c>
      <c r="X196" s="27">
        <v>78.815628311752477</v>
      </c>
      <c r="Y196" s="15">
        <f t="shared" si="92"/>
        <v>102.59511846169535</v>
      </c>
      <c r="Z196" s="27">
        <v>23.529768986874338</v>
      </c>
      <c r="AA196" s="15">
        <f t="shared" si="93"/>
        <v>30.628943628236382</v>
      </c>
      <c r="AB196" s="24">
        <v>3323.5498720247788</v>
      </c>
      <c r="AC196" s="15">
        <f t="shared" si="94"/>
        <v>4326.2992396000463</v>
      </c>
      <c r="AD196" s="24">
        <v>571.67469080474586</v>
      </c>
      <c r="AE196" s="15">
        <f t="shared" si="95"/>
        <v>744.15485711379279</v>
      </c>
      <c r="AF196" s="24">
        <v>602.82041209639283</v>
      </c>
      <c r="AG196" s="15">
        <f t="shared" si="96"/>
        <v>784.69756461911368</v>
      </c>
      <c r="AH196" s="24">
        <v>4.2699779190161165</v>
      </c>
      <c r="AI196" s="15">
        <f t="shared" si="97"/>
        <v>5.5582744160520559</v>
      </c>
    </row>
    <row r="197" spans="1:35" x14ac:dyDescent="0.45">
      <c r="A197" s="11" t="s">
        <v>2</v>
      </c>
      <c r="B197" s="11" t="s">
        <v>7</v>
      </c>
      <c r="C197" s="10" t="s">
        <v>4</v>
      </c>
      <c r="D197" t="s">
        <v>63</v>
      </c>
      <c r="E197" t="s">
        <v>57</v>
      </c>
      <c r="F197" t="s">
        <v>49</v>
      </c>
      <c r="G197" s="12">
        <v>1.3017103417089302</v>
      </c>
      <c r="H197" s="25">
        <v>0.1614901695807256</v>
      </c>
      <c r="I197" s="19">
        <f t="shared" si="84"/>
        <v>2102.1342382755938</v>
      </c>
      <c r="J197" s="15">
        <v>137.09567712174362</v>
      </c>
      <c r="K197" s="15">
        <f t="shared" si="85"/>
        <v>178.45886071296206</v>
      </c>
      <c r="L197" s="26">
        <v>34924.373222984323</v>
      </c>
      <c r="M197" s="15">
        <f t="shared" si="86"/>
        <v>45461.417802061136</v>
      </c>
      <c r="N197" s="15">
        <v>135.0942803754408</v>
      </c>
      <c r="O197" s="15">
        <f t="shared" si="87"/>
        <v>175.85362187043708</v>
      </c>
      <c r="P197" s="27">
        <v>4.183095322686583</v>
      </c>
      <c r="Q197" s="19">
        <f t="shared" si="88"/>
        <v>54.451784418953793</v>
      </c>
      <c r="R197" s="27">
        <v>1.6382072815447453</v>
      </c>
      <c r="S197" s="19">
        <f t="shared" si="89"/>
        <v>21.324713602496683</v>
      </c>
      <c r="T197" s="27">
        <v>16.01207334826114</v>
      </c>
      <c r="U197" s="15">
        <f t="shared" si="90"/>
        <v>20.843081469633464</v>
      </c>
      <c r="V197" s="27">
        <v>177.54473927983469</v>
      </c>
      <c r="W197" s="15">
        <f t="shared" si="91"/>
        <v>231.11182323657653</v>
      </c>
      <c r="X197" s="27">
        <v>63.963806096527385</v>
      </c>
      <c r="Y197" s="15">
        <f t="shared" si="92"/>
        <v>83.262347890914413</v>
      </c>
      <c r="Z197" s="27">
        <v>13.034930225608118</v>
      </c>
      <c r="AA197" s="15">
        <f t="shared" si="93"/>
        <v>16.967703478128406</v>
      </c>
      <c r="AB197" s="24">
        <v>3388.3888593004522</v>
      </c>
      <c r="AC197" s="15">
        <f t="shared" si="94"/>
        <v>4410.7008198827234</v>
      </c>
      <c r="AD197" s="24">
        <v>421.84760898921292</v>
      </c>
      <c r="AE197" s="15">
        <f t="shared" si="95"/>
        <v>549.12339524644347</v>
      </c>
      <c r="AF197" s="24">
        <v>637.6314089790867</v>
      </c>
      <c r="AG197" s="15">
        <f t="shared" si="96"/>
        <v>830.01139926651354</v>
      </c>
      <c r="AH197" s="24">
        <v>6.5318339456394243</v>
      </c>
      <c r="AI197" s="15">
        <f t="shared" si="97"/>
        <v>8.5025557973642858</v>
      </c>
    </row>
    <row r="198" spans="1:35" x14ac:dyDescent="0.45">
      <c r="A198" s="11" t="s">
        <v>2</v>
      </c>
      <c r="B198" s="11" t="s">
        <v>7</v>
      </c>
      <c r="C198" s="18" t="s">
        <v>5</v>
      </c>
      <c r="D198" t="s">
        <v>64</v>
      </c>
      <c r="E198" t="s">
        <v>51</v>
      </c>
      <c r="F198" t="s">
        <v>43</v>
      </c>
      <c r="G198" s="12">
        <v>1.4006073402301149</v>
      </c>
      <c r="H198" s="25">
        <v>0.118779802712886</v>
      </c>
      <c r="I198" s="19">
        <f t="shared" si="84"/>
        <v>1663.6386355075306</v>
      </c>
      <c r="J198" s="15">
        <v>158.56299668357681</v>
      </c>
      <c r="K198" s="15">
        <f t="shared" si="85"/>
        <v>222.08449704390105</v>
      </c>
      <c r="L198" s="26">
        <v>27209.034933868206</v>
      </c>
      <c r="M198" s="15">
        <f t="shared" si="86"/>
        <v>38109.174048953428</v>
      </c>
      <c r="N198" s="15">
        <v>103.2066842319139</v>
      </c>
      <c r="O198" s="15">
        <f t="shared" si="87"/>
        <v>144.55203949603026</v>
      </c>
      <c r="P198" s="27">
        <v>4.3535863258065026</v>
      </c>
      <c r="Q198" s="19">
        <f t="shared" si="88"/>
        <v>60.976649642500441</v>
      </c>
      <c r="R198" s="27">
        <v>1.1063231133814171</v>
      </c>
      <c r="S198" s="19">
        <f t="shared" si="89"/>
        <v>15.495242732682463</v>
      </c>
      <c r="T198" s="27">
        <v>20.635223452774508</v>
      </c>
      <c r="U198" s="15">
        <f t="shared" si="90"/>
        <v>28.901845435244592</v>
      </c>
      <c r="V198" s="27">
        <v>73.253296072161007</v>
      </c>
      <c r="W198" s="15">
        <f t="shared" si="91"/>
        <v>102.59910417471856</v>
      </c>
      <c r="X198" s="27">
        <v>20.949946819908583</v>
      </c>
      <c r="Y198" s="15">
        <f t="shared" si="92"/>
        <v>29.342649293394516</v>
      </c>
      <c r="Z198" s="27">
        <v>1.1347490539686487</v>
      </c>
      <c r="AA198" s="15">
        <f t="shared" si="93"/>
        <v>1.5893378543076684</v>
      </c>
      <c r="AB198" s="24">
        <v>2828.84613749237</v>
      </c>
      <c r="AC198" s="15">
        <f t="shared" si="94"/>
        <v>3962.1026645534225</v>
      </c>
      <c r="AD198" s="24">
        <v>153.65598796964127</v>
      </c>
      <c r="AE198" s="15">
        <f t="shared" si="95"/>
        <v>215.21170462058981</v>
      </c>
      <c r="AF198" s="24">
        <v>366.41043285068304</v>
      </c>
      <c r="AG198" s="15">
        <f t="shared" si="96"/>
        <v>513.19714178756033</v>
      </c>
      <c r="AH198" s="24">
        <v>8.96326596489574</v>
      </c>
      <c r="AI198" s="15">
        <f t="shared" si="97"/>
        <v>12.554016102867738</v>
      </c>
    </row>
    <row r="199" spans="1:35" x14ac:dyDescent="0.45">
      <c r="A199" s="11" t="s">
        <v>2</v>
      </c>
      <c r="B199" s="11" t="s">
        <v>7</v>
      </c>
      <c r="C199" s="10" t="s">
        <v>5</v>
      </c>
      <c r="D199" t="s">
        <v>64</v>
      </c>
      <c r="E199" t="s">
        <v>52</v>
      </c>
      <c r="F199" t="s">
        <v>43</v>
      </c>
      <c r="G199" s="12">
        <v>1.4006073402301149</v>
      </c>
      <c r="H199" s="25">
        <v>0.12327518456225534</v>
      </c>
      <c r="I199" s="19">
        <f t="shared" si="84"/>
        <v>1726.6012836611696</v>
      </c>
      <c r="J199" s="15">
        <v>162.79109358285805</v>
      </c>
      <c r="K199" s="15">
        <f t="shared" si="85"/>
        <v>228.00640059623856</v>
      </c>
      <c r="L199" s="26">
        <v>27039.876561220488</v>
      </c>
      <c r="M199" s="15">
        <f t="shared" si="86"/>
        <v>37872.249590561652</v>
      </c>
      <c r="N199" s="15">
        <v>105.76822464422979</v>
      </c>
      <c r="O199" s="15">
        <f t="shared" si="87"/>
        <v>148.13975179981597</v>
      </c>
      <c r="P199" s="27">
        <v>3.8927857121754892</v>
      </c>
      <c r="Q199" s="19">
        <f t="shared" si="88"/>
        <v>54.522642424159059</v>
      </c>
      <c r="R199" s="27">
        <v>1.2126740831122598</v>
      </c>
      <c r="S199" s="19">
        <f t="shared" si="89"/>
        <v>16.984802221138555</v>
      </c>
      <c r="T199" s="27">
        <v>16.916805435678341</v>
      </c>
      <c r="U199" s="15">
        <f t="shared" si="90"/>
        <v>23.693801866455793</v>
      </c>
      <c r="V199" s="27">
        <v>31.547208401620168</v>
      </c>
      <c r="W199" s="15">
        <f t="shared" si="91"/>
        <v>44.18525165107836</v>
      </c>
      <c r="X199" s="27">
        <v>18.144203676076337</v>
      </c>
      <c r="Y199" s="15">
        <f t="shared" si="92"/>
        <v>25.412904851342752</v>
      </c>
      <c r="Z199" s="27">
        <v>3.0189685625185643</v>
      </c>
      <c r="AA199" s="15">
        <f t="shared" si="93"/>
        <v>4.22838952858746</v>
      </c>
      <c r="AB199" s="24">
        <v>3078.9984223078386</v>
      </c>
      <c r="AC199" s="15">
        <f t="shared" si="94"/>
        <v>4312.4677908413023</v>
      </c>
      <c r="AD199" s="24">
        <v>161.17688465306145</v>
      </c>
      <c r="AE199" s="15">
        <f t="shared" si="95"/>
        <v>225.74552772050043</v>
      </c>
      <c r="AF199" s="24">
        <v>434.65766312890128</v>
      </c>
      <c r="AG199" s="15">
        <f t="shared" si="96"/>
        <v>608.78471346560775</v>
      </c>
      <c r="AH199" s="24">
        <v>9.5042369401869795</v>
      </c>
      <c r="AI199" s="15">
        <f t="shared" si="97"/>
        <v>13.311704021712092</v>
      </c>
    </row>
    <row r="200" spans="1:35" x14ac:dyDescent="0.45">
      <c r="A200" s="11" t="s">
        <v>2</v>
      </c>
      <c r="B200" s="11" t="s">
        <v>7</v>
      </c>
      <c r="C200" s="18" t="s">
        <v>5</v>
      </c>
      <c r="D200" t="s">
        <v>64</v>
      </c>
      <c r="E200" t="s">
        <v>53</v>
      </c>
      <c r="F200" t="s">
        <v>43</v>
      </c>
      <c r="G200" s="12">
        <v>1.4006073402301149</v>
      </c>
      <c r="H200" s="25">
        <v>0.1110369316246413</v>
      </c>
      <c r="I200" s="19">
        <f t="shared" si="84"/>
        <v>1555.19141470102</v>
      </c>
      <c r="J200" s="15">
        <v>113.18400933587421</v>
      </c>
      <c r="K200" s="15">
        <f t="shared" si="85"/>
        <v>158.5263542724993</v>
      </c>
      <c r="L200" s="26">
        <v>30794.207945436039</v>
      </c>
      <c r="M200" s="15">
        <f t="shared" si="86"/>
        <v>43130.59368495024</v>
      </c>
      <c r="N200" s="15">
        <v>102.98725173804768</v>
      </c>
      <c r="O200" s="15">
        <f t="shared" si="87"/>
        <v>144.24470073443624</v>
      </c>
      <c r="P200" s="27">
        <v>3.8067555139965679</v>
      </c>
      <c r="Q200" s="19">
        <f t="shared" si="88"/>
        <v>53.31769715365057</v>
      </c>
      <c r="R200" s="27">
        <v>1.1420266541989705</v>
      </c>
      <c r="S200" s="19">
        <f t="shared" si="89"/>
        <v>15.995309146095174</v>
      </c>
      <c r="T200" s="27">
        <v>12.606534818380988</v>
      </c>
      <c r="U200" s="15">
        <f t="shared" si="90"/>
        <v>17.656805201490933</v>
      </c>
      <c r="V200" s="27">
        <v>9.0330479060864661</v>
      </c>
      <c r="W200" s="15">
        <f t="shared" si="91"/>
        <v>12.651753201914975</v>
      </c>
      <c r="X200" s="27">
        <v>12.248360365351063</v>
      </c>
      <c r="Y200" s="15">
        <f t="shared" si="92"/>
        <v>17.15514343349431</v>
      </c>
      <c r="Z200" s="27">
        <v>1.4709347320975876</v>
      </c>
      <c r="AA200" s="15">
        <f t="shared" si="93"/>
        <v>2.0602019827752991</v>
      </c>
      <c r="AB200" s="24">
        <v>2954.1413535794186</v>
      </c>
      <c r="AC200" s="15">
        <f t="shared" si="94"/>
        <v>4137.5920639006608</v>
      </c>
      <c r="AD200" s="24">
        <v>122.89075608247177</v>
      </c>
      <c r="AE200" s="15">
        <f t="shared" si="95"/>
        <v>172.12169501553859</v>
      </c>
      <c r="AF200" s="24">
        <v>494.42094888994461</v>
      </c>
      <c r="AG200" s="15">
        <f t="shared" si="96"/>
        <v>692.48961017879503</v>
      </c>
      <c r="AH200" s="24">
        <v>8.7357227385757081</v>
      </c>
      <c r="AI200" s="15">
        <f t="shared" si="97"/>
        <v>12.235317389864258</v>
      </c>
    </row>
    <row r="201" spans="1:35" x14ac:dyDescent="0.45">
      <c r="A201" s="11" t="s">
        <v>2</v>
      </c>
      <c r="B201" s="11" t="s">
        <v>7</v>
      </c>
      <c r="C201" s="18" t="s">
        <v>5</v>
      </c>
      <c r="D201" t="s">
        <v>64</v>
      </c>
      <c r="E201" t="s">
        <v>54</v>
      </c>
      <c r="F201" t="s">
        <v>43</v>
      </c>
      <c r="G201" s="12">
        <v>1.4006073402301149</v>
      </c>
      <c r="H201" s="25">
        <v>0.1882972244044773</v>
      </c>
      <c r="I201" s="19">
        <f t="shared" si="84"/>
        <v>2637.3047464586803</v>
      </c>
      <c r="J201" s="15">
        <v>286.40302197037533</v>
      </c>
      <c r="K201" s="15">
        <f t="shared" si="85"/>
        <v>401.13817483579459</v>
      </c>
      <c r="L201" s="26">
        <v>31436.830020990692</v>
      </c>
      <c r="M201" s="15">
        <f t="shared" si="86"/>
        <v>44030.654880966002</v>
      </c>
      <c r="N201" s="15">
        <v>136.93343137977541</v>
      </c>
      <c r="O201" s="15">
        <f t="shared" si="87"/>
        <v>191.78996911341019</v>
      </c>
      <c r="P201" s="27">
        <v>4.9650712170391555</v>
      </c>
      <c r="Q201" s="19">
        <f t="shared" si="88"/>
        <v>69.541151913503114</v>
      </c>
      <c r="R201" s="27">
        <v>1.9017353522820784</v>
      </c>
      <c r="S201" s="19">
        <f t="shared" si="89"/>
        <v>26.635844935813825</v>
      </c>
      <c r="T201" s="27">
        <v>19.420961673360495</v>
      </c>
      <c r="U201" s="15">
        <f t="shared" si="90"/>
        <v>27.201141474036444</v>
      </c>
      <c r="V201" s="27">
        <v>11.623037904931598</v>
      </c>
      <c r="W201" s="15">
        <f t="shared" si="91"/>
        <v>16.279312205420055</v>
      </c>
      <c r="X201" s="27">
        <v>18.26744765734821</v>
      </c>
      <c r="Y201" s="15">
        <f t="shared" si="92"/>
        <v>25.585521276151322</v>
      </c>
      <c r="Z201" s="27">
        <v>8.8436157972305622</v>
      </c>
      <c r="AA201" s="15">
        <f t="shared" si="93"/>
        <v>12.386433199776127</v>
      </c>
      <c r="AB201" s="24">
        <v>3751.1026734457309</v>
      </c>
      <c r="AC201" s="15">
        <f t="shared" si="94"/>
        <v>5253.8219383848991</v>
      </c>
      <c r="AD201" s="24">
        <v>164.8623201876355</v>
      </c>
      <c r="AE201" s="15">
        <f t="shared" si="95"/>
        <v>230.90737578216977</v>
      </c>
      <c r="AF201" s="24">
        <v>481.01006360627775</v>
      </c>
      <c r="AG201" s="15">
        <f t="shared" si="96"/>
        <v>673.70622581150712</v>
      </c>
      <c r="AH201" s="24">
        <v>10.570584059089573</v>
      </c>
      <c r="AI201" s="15">
        <f t="shared" si="97"/>
        <v>14.805237623680298</v>
      </c>
    </row>
    <row r="202" spans="1:35" x14ac:dyDescent="0.45">
      <c r="A202" s="11" t="s">
        <v>2</v>
      </c>
      <c r="B202" s="11" t="s">
        <v>7</v>
      </c>
      <c r="C202" s="18" t="s">
        <v>5</v>
      </c>
      <c r="D202" t="s">
        <v>64</v>
      </c>
      <c r="E202" t="s">
        <v>55</v>
      </c>
      <c r="F202" t="s">
        <v>43</v>
      </c>
      <c r="G202" s="12">
        <v>1.4006073402301149</v>
      </c>
      <c r="H202" s="25">
        <v>0.12216502748999453</v>
      </c>
      <c r="I202" s="19">
        <f t="shared" si="84"/>
        <v>1711.052342219001</v>
      </c>
      <c r="J202" s="15">
        <v>95.360798172122401</v>
      </c>
      <c r="K202" s="15">
        <f t="shared" si="85"/>
        <v>133.56303389007718</v>
      </c>
      <c r="L202" s="26">
        <v>32648.62668342745</v>
      </c>
      <c r="M202" s="15">
        <f t="shared" si="86"/>
        <v>45727.906181241276</v>
      </c>
      <c r="N202" s="15">
        <v>109.14790152230877</v>
      </c>
      <c r="O202" s="15">
        <f t="shared" si="87"/>
        <v>152.87335204285941</v>
      </c>
      <c r="P202" s="27">
        <v>4.9851293401075978</v>
      </c>
      <c r="Q202" s="19">
        <f t="shared" si="88"/>
        <v>69.822087457512112</v>
      </c>
      <c r="R202" s="27">
        <v>1.1456508421365288</v>
      </c>
      <c r="S202" s="19">
        <f t="shared" si="89"/>
        <v>16.04606978837235</v>
      </c>
      <c r="T202" s="27">
        <v>13.553264045871527</v>
      </c>
      <c r="U202" s="15">
        <f t="shared" si="90"/>
        <v>18.982801106724569</v>
      </c>
      <c r="V202" s="27">
        <v>8.6251073091213328</v>
      </c>
      <c r="W202" s="15">
        <f t="shared" si="91"/>
        <v>12.080388607427754</v>
      </c>
      <c r="X202" s="27">
        <v>19.196853420648523</v>
      </c>
      <c r="Y202" s="15">
        <f t="shared" si="92"/>
        <v>26.887253810281912</v>
      </c>
      <c r="Z202" s="27">
        <v>5.2110023325941395</v>
      </c>
      <c r="AA202" s="15">
        <f t="shared" si="93"/>
        <v>7.2985681169876031</v>
      </c>
      <c r="AB202" s="24">
        <v>3271.0197294542604</v>
      </c>
      <c r="AC202" s="15">
        <f t="shared" si="94"/>
        <v>4581.4142431111622</v>
      </c>
      <c r="AD202" s="24">
        <v>196.49936481551686</v>
      </c>
      <c r="AE202" s="15">
        <f t="shared" si="95"/>
        <v>275.21845271116808</v>
      </c>
      <c r="AF202" s="24">
        <v>493.23325410763567</v>
      </c>
      <c r="AG202" s="15">
        <f t="shared" si="96"/>
        <v>690.82611614874008</v>
      </c>
      <c r="AH202" s="24">
        <v>7.1752040788696307</v>
      </c>
      <c r="AI202" s="15">
        <f t="shared" si="97"/>
        <v>10.049643500513866</v>
      </c>
    </row>
    <row r="203" spans="1:35" x14ac:dyDescent="0.45">
      <c r="A203" s="11" t="s">
        <v>2</v>
      </c>
      <c r="B203" s="11" t="s">
        <v>7</v>
      </c>
      <c r="C203" s="10" t="s">
        <v>5</v>
      </c>
      <c r="D203" t="s">
        <v>64</v>
      </c>
      <c r="E203" t="s">
        <v>56</v>
      </c>
      <c r="F203" t="s">
        <v>43</v>
      </c>
      <c r="G203" s="12">
        <v>1.4006073402301149</v>
      </c>
      <c r="H203" s="25">
        <v>0.12507865952331659</v>
      </c>
      <c r="I203" s="19">
        <f t="shared" si="84"/>
        <v>1751.8608863450058</v>
      </c>
      <c r="J203" s="15">
        <v>92.843394958154249</v>
      </c>
      <c r="K203" s="15">
        <f t="shared" si="85"/>
        <v>130.03714047027449</v>
      </c>
      <c r="L203" s="26">
        <v>30080.103039401994</v>
      </c>
      <c r="M203" s="15">
        <f t="shared" si="86"/>
        <v>42130.413111864626</v>
      </c>
      <c r="N203" s="15">
        <v>107.97985706452</v>
      </c>
      <c r="O203" s="15">
        <f t="shared" si="87"/>
        <v>151.23738040156533</v>
      </c>
      <c r="P203" s="27">
        <v>3.7519799498443427</v>
      </c>
      <c r="Q203" s="19">
        <f t="shared" si="88"/>
        <v>52.550506581482047</v>
      </c>
      <c r="R203" s="27">
        <v>1.1450184043121701</v>
      </c>
      <c r="S203" s="19">
        <f t="shared" si="89"/>
        <v>16.037211817781987</v>
      </c>
      <c r="T203" s="27">
        <v>16.485617037079017</v>
      </c>
      <c r="U203" s="15">
        <f t="shared" si="90"/>
        <v>23.089876230355511</v>
      </c>
      <c r="V203" s="27">
        <v>6.4434277980632535</v>
      </c>
      <c r="W203" s="15">
        <f t="shared" si="91"/>
        <v>9.0247122702101592</v>
      </c>
      <c r="X203" s="27">
        <v>14.260679541058913</v>
      </c>
      <c r="Y203" s="15">
        <f t="shared" si="92"/>
        <v>19.973612441876543</v>
      </c>
      <c r="Z203" s="27">
        <v>5.3501735320254946</v>
      </c>
      <c r="AA203" s="15">
        <f t="shared" si="93"/>
        <v>7.4934923204597874</v>
      </c>
      <c r="AB203" s="24">
        <v>3319.4032424116758</v>
      </c>
      <c r="AC203" s="15">
        <f t="shared" si="94"/>
        <v>4649.1805465054367</v>
      </c>
      <c r="AD203" s="24">
        <v>159.74029078015766</v>
      </c>
      <c r="AE203" s="15">
        <f t="shared" si="95"/>
        <v>223.73342379718179</v>
      </c>
      <c r="AF203" s="24">
        <v>507.97412468090135</v>
      </c>
      <c r="AG203" s="15">
        <f t="shared" si="96"/>
        <v>711.47228767503805</v>
      </c>
      <c r="AH203" s="24">
        <v>8.7431185820339632</v>
      </c>
      <c r="AI203" s="15">
        <f t="shared" si="97"/>
        <v>12.245676062499083</v>
      </c>
    </row>
    <row r="204" spans="1:35" x14ac:dyDescent="0.45">
      <c r="A204" s="11" t="s">
        <v>2</v>
      </c>
      <c r="B204" s="11" t="s">
        <v>7</v>
      </c>
      <c r="C204" s="10" t="s">
        <v>5</v>
      </c>
      <c r="D204" t="s">
        <v>64</v>
      </c>
      <c r="E204" t="s">
        <v>57</v>
      </c>
      <c r="F204" t="s">
        <v>43</v>
      </c>
      <c r="G204" s="12">
        <v>1.4006073402301149</v>
      </c>
      <c r="H204" s="25">
        <v>0.12295249615080135</v>
      </c>
      <c r="I204" s="19">
        <f t="shared" si="84"/>
        <v>1722.0816860842731</v>
      </c>
      <c r="J204" s="15">
        <v>96.480424135656762</v>
      </c>
      <c r="K204" s="15">
        <f t="shared" si="85"/>
        <v>135.1311902329156</v>
      </c>
      <c r="L204" s="26">
        <v>31214.254867418367</v>
      </c>
      <c r="M204" s="15">
        <f t="shared" si="86"/>
        <v>43718.914487119757</v>
      </c>
      <c r="N204" s="15">
        <v>118.23581389173623</v>
      </c>
      <c r="O204" s="15">
        <f t="shared" si="87"/>
        <v>165.60194881484756</v>
      </c>
      <c r="P204" s="27">
        <v>3.9524151633682925</v>
      </c>
      <c r="Q204" s="19">
        <f t="shared" si="88"/>
        <v>55.357816894504396</v>
      </c>
      <c r="R204" s="27">
        <v>1.1661172675211933</v>
      </c>
      <c r="S204" s="19">
        <f t="shared" si="89"/>
        <v>16.332724044592677</v>
      </c>
      <c r="T204" s="27">
        <v>18.854291900539319</v>
      </c>
      <c r="U204" s="15">
        <f t="shared" si="90"/>
        <v>26.407459630736575</v>
      </c>
      <c r="V204" s="27">
        <v>9.7602310035396531</v>
      </c>
      <c r="W204" s="15">
        <f t="shared" si="91"/>
        <v>13.670251185899179</v>
      </c>
      <c r="X204" s="27">
        <v>14.458101528064962</v>
      </c>
      <c r="Y204" s="15">
        <f t="shared" si="92"/>
        <v>20.250123126000027</v>
      </c>
      <c r="Z204" s="27">
        <v>3.5841512191421545</v>
      </c>
      <c r="AA204" s="15">
        <f t="shared" si="93"/>
        <v>5.0199885060252178</v>
      </c>
      <c r="AB204" s="24">
        <v>3632.1021953852883</v>
      </c>
      <c r="AC204" s="15">
        <f t="shared" si="94"/>
        <v>5087.14899532255</v>
      </c>
      <c r="AD204" s="24">
        <v>156.81778280911416</v>
      </c>
      <c r="AE204" s="15">
        <f t="shared" si="95"/>
        <v>219.64013768105724</v>
      </c>
      <c r="AF204" s="24">
        <v>454.26570633091774</v>
      </c>
      <c r="AG204" s="15">
        <f t="shared" si="96"/>
        <v>636.24788270190118</v>
      </c>
      <c r="AH204" s="24">
        <v>11.938386046113205</v>
      </c>
      <c r="AI204" s="15">
        <f t="shared" si="97"/>
        <v>16.720991126686933</v>
      </c>
    </row>
    <row r="205" spans="1:35" x14ac:dyDescent="0.45">
      <c r="A205" s="11" t="s">
        <v>2</v>
      </c>
      <c r="B205" s="11" t="s">
        <v>7</v>
      </c>
      <c r="C205" s="18" t="s">
        <v>5</v>
      </c>
      <c r="D205" t="s">
        <v>64</v>
      </c>
      <c r="E205" t="s">
        <v>51</v>
      </c>
      <c r="F205" t="s">
        <v>44</v>
      </c>
      <c r="G205" s="12">
        <v>1.4006073402301149</v>
      </c>
      <c r="H205" s="25">
        <v>0.14368729961537097</v>
      </c>
      <c r="I205" s="19">
        <f t="shared" si="84"/>
        <v>2012.4948653913232</v>
      </c>
      <c r="J205" s="15">
        <v>159.69723602345422</v>
      </c>
      <c r="K205" s="15">
        <f t="shared" si="85"/>
        <v>223.67312098891111</v>
      </c>
      <c r="L205" s="26">
        <v>27998.866056060153</v>
      </c>
      <c r="M205" s="15">
        <f t="shared" si="86"/>
        <v>39215.417316237661</v>
      </c>
      <c r="N205" s="15">
        <v>116.14344438069399</v>
      </c>
      <c r="O205" s="15">
        <f t="shared" si="87"/>
        <v>162.67136071920811</v>
      </c>
      <c r="P205" s="27">
        <v>4.4984347039117871</v>
      </c>
      <c r="Q205" s="19">
        <f t="shared" si="88"/>
        <v>63.005406658447328</v>
      </c>
      <c r="R205" s="27">
        <v>1.2529886618201782</v>
      </c>
      <c r="S205" s="19">
        <f t="shared" si="89"/>
        <v>17.549451169704508</v>
      </c>
      <c r="T205" s="27">
        <v>17.155499029077241</v>
      </c>
      <c r="U205" s="15">
        <f t="shared" si="90"/>
        <v>24.028117865436197</v>
      </c>
      <c r="V205" s="27">
        <v>4.9446643838584867</v>
      </c>
      <c r="W205" s="15">
        <f t="shared" si="91"/>
        <v>6.9255332310066162</v>
      </c>
      <c r="X205" s="27">
        <v>16.829379369471113</v>
      </c>
      <c r="Y205" s="15">
        <f t="shared" si="92"/>
        <v>23.571352276398507</v>
      </c>
      <c r="Z205" s="27">
        <v>5.2756064882899603</v>
      </c>
      <c r="AA205" s="15">
        <f t="shared" si="93"/>
        <v>7.3890531716645391</v>
      </c>
      <c r="AB205" s="24">
        <v>3226.4554932424944</v>
      </c>
      <c r="AC205" s="15">
        <f t="shared" si="94"/>
        <v>4518.9972467612142</v>
      </c>
      <c r="AD205" s="24">
        <v>160.83832188536152</v>
      </c>
      <c r="AE205" s="15">
        <f t="shared" si="95"/>
        <v>225.2713342229313</v>
      </c>
      <c r="AF205" s="24">
        <v>449.57217683619132</v>
      </c>
      <c r="AG205" s="15">
        <f t="shared" si="96"/>
        <v>629.67409084000087</v>
      </c>
      <c r="AH205" s="24">
        <v>8.2163190939028077</v>
      </c>
      <c r="AI205" s="15">
        <f t="shared" si="97"/>
        <v>11.507836832593121</v>
      </c>
    </row>
    <row r="206" spans="1:35" x14ac:dyDescent="0.45">
      <c r="A206" s="11" t="s">
        <v>2</v>
      </c>
      <c r="B206" s="11" t="s">
        <v>7</v>
      </c>
      <c r="C206" s="10" t="s">
        <v>5</v>
      </c>
      <c r="D206" t="s">
        <v>64</v>
      </c>
      <c r="E206" t="s">
        <v>52</v>
      </c>
      <c r="F206" t="s">
        <v>44</v>
      </c>
      <c r="G206" s="12">
        <v>1.4006073402301149</v>
      </c>
      <c r="H206" s="25">
        <v>0.14168057941324866</v>
      </c>
      <c r="I206" s="19">
        <f t="shared" si="84"/>
        <v>1984.3885949425178</v>
      </c>
      <c r="J206" s="15">
        <v>109.5407418075423</v>
      </c>
      <c r="K206" s="15">
        <f t="shared" si="85"/>
        <v>153.42356702989557</v>
      </c>
      <c r="L206" s="26">
        <v>27436.37271441246</v>
      </c>
      <c r="M206" s="15">
        <f t="shared" si="86"/>
        <v>38427.58501309534</v>
      </c>
      <c r="N206" s="15">
        <v>113.63572280969341</v>
      </c>
      <c r="O206" s="15">
        <f t="shared" si="87"/>
        <v>159.15902747961127</v>
      </c>
      <c r="P206" s="27">
        <v>3.8799944995381801</v>
      </c>
      <c r="Q206" s="19">
        <f t="shared" si="88"/>
        <v>54.343487761056458</v>
      </c>
      <c r="R206" s="27">
        <v>1.3513437307098677</v>
      </c>
      <c r="S206" s="19">
        <f t="shared" si="89"/>
        <v>18.927019484061884</v>
      </c>
      <c r="T206" s="27">
        <v>23.0667671865437</v>
      </c>
      <c r="U206" s="15">
        <f t="shared" si="90"/>
        <v>32.307483436852266</v>
      </c>
      <c r="V206" s="27">
        <v>6.3057853768673029</v>
      </c>
      <c r="W206" s="15">
        <f t="shared" si="91"/>
        <v>8.8319292847560664</v>
      </c>
      <c r="X206" s="27">
        <v>16.679498544174237</v>
      </c>
      <c r="Y206" s="15">
        <f t="shared" si="92"/>
        <v>23.361428092327952</v>
      </c>
      <c r="Z206" s="27">
        <v>5.9775662641912444</v>
      </c>
      <c r="AA206" s="15">
        <f t="shared" si="93"/>
        <v>8.3722231863381644</v>
      </c>
      <c r="AB206" s="24">
        <v>3187.6616820666509</v>
      </c>
      <c r="AC206" s="15">
        <f t="shared" si="94"/>
        <v>4464.6623500728265</v>
      </c>
      <c r="AD206" s="24">
        <v>155.56913120917221</v>
      </c>
      <c r="AE206" s="15">
        <f t="shared" si="95"/>
        <v>217.89126708478847</v>
      </c>
      <c r="AF206" s="24">
        <v>464.70004999901118</v>
      </c>
      <c r="AG206" s="15">
        <f t="shared" si="96"/>
        <v>650.86230103391642</v>
      </c>
      <c r="AH206" s="24">
        <v>10.739288412504145</v>
      </c>
      <c r="AI206" s="15">
        <f t="shared" si="97"/>
        <v>15.041526179401524</v>
      </c>
    </row>
    <row r="207" spans="1:35" x14ac:dyDescent="0.45">
      <c r="A207" s="11" t="s">
        <v>2</v>
      </c>
      <c r="B207" s="11" t="s">
        <v>7</v>
      </c>
      <c r="C207" s="10" t="s">
        <v>5</v>
      </c>
      <c r="D207" t="s">
        <v>64</v>
      </c>
      <c r="E207" t="s">
        <v>53</v>
      </c>
      <c r="F207" t="s">
        <v>44</v>
      </c>
      <c r="G207" s="12">
        <v>1.4006073402301149</v>
      </c>
      <c r="H207" s="25">
        <v>0.13851281261336626</v>
      </c>
      <c r="I207" s="19">
        <f t="shared" si="84"/>
        <v>1940.0206206219923</v>
      </c>
      <c r="J207" s="15">
        <v>105.33150290790354</v>
      </c>
      <c r="K207" s="15">
        <f t="shared" si="85"/>
        <v>147.5280761302794</v>
      </c>
      <c r="L207" s="26">
        <v>27127.830465903458</v>
      </c>
      <c r="M207" s="15">
        <f t="shared" si="86"/>
        <v>37995.438475062525</v>
      </c>
      <c r="N207" s="15">
        <v>106.32519633156301</v>
      </c>
      <c r="O207" s="15">
        <f t="shared" si="87"/>
        <v>148.91985043339523</v>
      </c>
      <c r="P207" s="27">
        <v>4.0584466556836905</v>
      </c>
      <c r="Q207" s="19">
        <f t="shared" si="88"/>
        <v>56.842901758829385</v>
      </c>
      <c r="R207" s="27">
        <v>1.4523882701812192</v>
      </c>
      <c r="S207" s="19">
        <f t="shared" si="89"/>
        <v>20.342256720799348</v>
      </c>
      <c r="T207" s="27">
        <v>16.337096592001014</v>
      </c>
      <c r="U207" s="15">
        <f t="shared" si="90"/>
        <v>22.881857404805015</v>
      </c>
      <c r="V207" s="27">
        <v>4.6119173742237995</v>
      </c>
      <c r="W207" s="15">
        <f t="shared" si="91"/>
        <v>6.4594853268726515</v>
      </c>
      <c r="X207" s="27">
        <v>11.570427068812572</v>
      </c>
      <c r="Y207" s="15">
        <f t="shared" si="92"/>
        <v>16.205625082176102</v>
      </c>
      <c r="Z207" s="27">
        <v>2.1129489291598027</v>
      </c>
      <c r="AA207" s="15">
        <f t="shared" si="93"/>
        <v>2.959411779712581</v>
      </c>
      <c r="AB207" s="24">
        <v>3298.2200600833417</v>
      </c>
      <c r="AC207" s="15">
        <f t="shared" si="94"/>
        <v>4619.5112258469389</v>
      </c>
      <c r="AD207" s="24">
        <v>142.39100688051167</v>
      </c>
      <c r="AE207" s="15">
        <f t="shared" si="95"/>
        <v>199.43388941960143</v>
      </c>
      <c r="AF207" s="24">
        <v>557.44564395774785</v>
      </c>
      <c r="AG207" s="15">
        <f t="shared" si="96"/>
        <v>780.76246070652485</v>
      </c>
      <c r="AH207" s="24">
        <v>29.69003973253222</v>
      </c>
      <c r="AI207" s="15">
        <f t="shared" si="97"/>
        <v>41.584087581108392</v>
      </c>
    </row>
    <row r="208" spans="1:35" x14ac:dyDescent="0.45">
      <c r="A208" s="11" t="s">
        <v>2</v>
      </c>
      <c r="B208" s="11" t="s">
        <v>7</v>
      </c>
      <c r="C208" s="10" t="s">
        <v>5</v>
      </c>
      <c r="D208" t="s">
        <v>64</v>
      </c>
      <c r="E208" t="s">
        <v>54</v>
      </c>
      <c r="F208" t="s">
        <v>44</v>
      </c>
      <c r="G208" s="12">
        <v>1.4006073402301149</v>
      </c>
      <c r="H208" s="25">
        <v>0.10790395314444642</v>
      </c>
      <c r="I208" s="19">
        <f t="shared" si="84"/>
        <v>1511.3106881395806</v>
      </c>
      <c r="J208" s="15">
        <v>83.388791639772492</v>
      </c>
      <c r="K208" s="15">
        <f t="shared" si="85"/>
        <v>116.79495366358499</v>
      </c>
      <c r="L208" s="26">
        <v>28980.409650593581</v>
      </c>
      <c r="M208" s="15">
        <f t="shared" si="86"/>
        <v>40590.174479497029</v>
      </c>
      <c r="N208" s="15">
        <v>104.70341551182199</v>
      </c>
      <c r="O208" s="15">
        <f t="shared" si="87"/>
        <v>146.64837231302158</v>
      </c>
      <c r="P208" s="27">
        <v>3.564515598869074</v>
      </c>
      <c r="Q208" s="19">
        <f t="shared" si="88"/>
        <v>49.924867121407686</v>
      </c>
      <c r="R208" s="27">
        <v>0.96839441125344783</v>
      </c>
      <c r="S208" s="19">
        <f t="shared" si="89"/>
        <v>13.563403206393996</v>
      </c>
      <c r="T208" s="27">
        <v>10.16724826275547</v>
      </c>
      <c r="U208" s="15">
        <f t="shared" si="90"/>
        <v>14.240322546757195</v>
      </c>
      <c r="V208" s="27">
        <v>10.320479861278457</v>
      </c>
      <c r="W208" s="15">
        <f t="shared" si="91"/>
        <v>14.454939848403686</v>
      </c>
      <c r="X208" s="27">
        <v>13.783861724079715</v>
      </c>
      <c r="Y208" s="15">
        <f t="shared" si="92"/>
        <v>19.305777907462979</v>
      </c>
      <c r="Z208" s="27">
        <v>2.6273931372975059</v>
      </c>
      <c r="AA208" s="15">
        <f t="shared" si="93"/>
        <v>3.6799461137691174</v>
      </c>
      <c r="AB208" s="24">
        <v>2823.7968949422348</v>
      </c>
      <c r="AC208" s="15">
        <f t="shared" si="94"/>
        <v>3955.0306583751012</v>
      </c>
      <c r="AD208" s="24">
        <v>157.62164353380587</v>
      </c>
      <c r="AE208" s="15">
        <f t="shared" si="95"/>
        <v>220.76603091258315</v>
      </c>
      <c r="AF208" s="24">
        <v>529.52630572794908</v>
      </c>
      <c r="AG208" s="15">
        <f t="shared" si="96"/>
        <v>741.65843064750152</v>
      </c>
      <c r="AH208" s="24">
        <v>12.877585256029892</v>
      </c>
      <c r="AI208" s="15">
        <f t="shared" si="97"/>
        <v>18.036440434034571</v>
      </c>
    </row>
    <row r="209" spans="1:35" x14ac:dyDescent="0.45">
      <c r="A209" s="11" t="s">
        <v>2</v>
      </c>
      <c r="B209" s="11" t="s">
        <v>7</v>
      </c>
      <c r="C209" s="10" t="s">
        <v>5</v>
      </c>
      <c r="D209" t="s">
        <v>64</v>
      </c>
      <c r="E209" t="s">
        <v>55</v>
      </c>
      <c r="F209" t="s">
        <v>44</v>
      </c>
      <c r="G209" s="12">
        <v>1.4006073402301149</v>
      </c>
      <c r="H209" s="25">
        <v>0.13789334546540116</v>
      </c>
      <c r="I209" s="19">
        <f t="shared" si="84"/>
        <v>1931.3443182772789</v>
      </c>
      <c r="J209" s="15">
        <v>106.87864012190178</v>
      </c>
      <c r="K209" s="15">
        <f t="shared" si="85"/>
        <v>149.69500786854852</v>
      </c>
      <c r="L209" s="26">
        <v>30576.584869657119</v>
      </c>
      <c r="M209" s="15">
        <f t="shared" si="86"/>
        <v>42825.789207610833</v>
      </c>
      <c r="N209" s="15">
        <v>116.17243491511064</v>
      </c>
      <c r="O209" s="15">
        <f t="shared" si="87"/>
        <v>162.71196507450927</v>
      </c>
      <c r="P209" s="27">
        <v>3.8229467254177023</v>
      </c>
      <c r="Q209" s="19">
        <f t="shared" si="88"/>
        <v>53.544472449287156</v>
      </c>
      <c r="R209" s="27">
        <v>1.3014286724826221</v>
      </c>
      <c r="S209" s="19">
        <f t="shared" si="89"/>
        <v>18.227905514650946</v>
      </c>
      <c r="T209" s="27">
        <v>16.890455456140202</v>
      </c>
      <c r="U209" s="15">
        <f t="shared" si="90"/>
        <v>23.656895891699762</v>
      </c>
      <c r="V209" s="27">
        <v>5.4222355935913189</v>
      </c>
      <c r="W209" s="15">
        <f t="shared" si="91"/>
        <v>7.5944229728409951</v>
      </c>
      <c r="X209" s="27">
        <v>13.195706090598344</v>
      </c>
      <c r="Y209" s="15">
        <f t="shared" si="92"/>
        <v>18.482002810011274</v>
      </c>
      <c r="Z209" s="27">
        <v>6.7466046412295517</v>
      </c>
      <c r="AA209" s="15">
        <f t="shared" si="93"/>
        <v>9.4493439821366731</v>
      </c>
      <c r="AB209" s="24">
        <v>3310.5091856276699</v>
      </c>
      <c r="AC209" s="15">
        <f t="shared" si="94"/>
        <v>4636.7234652893349</v>
      </c>
      <c r="AD209" s="24">
        <v>149.46094910542612</v>
      </c>
      <c r="AE209" s="15">
        <f t="shared" si="95"/>
        <v>209.33610239481948</v>
      </c>
      <c r="AF209" s="24">
        <v>540.90629200058981</v>
      </c>
      <c r="AG209" s="15">
        <f t="shared" si="96"/>
        <v>757.59732295267997</v>
      </c>
      <c r="AH209" s="24">
        <v>12.200893804524583</v>
      </c>
      <c r="AI209" s="15">
        <f t="shared" si="97"/>
        <v>17.088661419985264</v>
      </c>
    </row>
    <row r="210" spans="1:35" x14ac:dyDescent="0.45">
      <c r="A210" s="11" t="s">
        <v>2</v>
      </c>
      <c r="B210" s="11" t="s">
        <v>7</v>
      </c>
      <c r="C210" s="10" t="s">
        <v>5</v>
      </c>
      <c r="D210" t="s">
        <v>64</v>
      </c>
      <c r="E210" t="s">
        <v>56</v>
      </c>
      <c r="F210" t="s">
        <v>44</v>
      </c>
      <c r="G210" s="12">
        <v>1.4006073402301149</v>
      </c>
      <c r="H210" s="25">
        <v>0.12665362697619481</v>
      </c>
      <c r="I210" s="19">
        <f t="shared" si="84"/>
        <v>1773.9199960962535</v>
      </c>
      <c r="J210" s="15">
        <v>98.539775446930449</v>
      </c>
      <c r="K210" s="15">
        <f t="shared" si="85"/>
        <v>138.01553279559806</v>
      </c>
      <c r="L210" s="26">
        <v>28988.420713488533</v>
      </c>
      <c r="M210" s="15">
        <f t="shared" si="86"/>
        <v>40601.394832990743</v>
      </c>
      <c r="N210" s="15">
        <v>111.57413727853501</v>
      </c>
      <c r="O210" s="15">
        <f t="shared" si="87"/>
        <v>156.27155565215864</v>
      </c>
      <c r="P210" s="27">
        <v>3.7184948807674743</v>
      </c>
      <c r="Q210" s="19">
        <f t="shared" si="88"/>
        <v>52.081512246110307</v>
      </c>
      <c r="R210" s="27">
        <v>1.1919558932871082</v>
      </c>
      <c r="S210" s="19">
        <f t="shared" si="89"/>
        <v>16.694621733684674</v>
      </c>
      <c r="T210" s="27">
        <v>16.861351984732583</v>
      </c>
      <c r="U210" s="15">
        <f t="shared" si="90"/>
        <v>23.616133356020075</v>
      </c>
      <c r="V210" s="27">
        <v>6.2844671948072568</v>
      </c>
      <c r="W210" s="15">
        <f t="shared" si="91"/>
        <v>8.8020708824824041</v>
      </c>
      <c r="X210" s="27">
        <v>11.195120630749672</v>
      </c>
      <c r="Y210" s="15">
        <f t="shared" si="92"/>
        <v>15.679968130189586</v>
      </c>
      <c r="Z210" s="27">
        <v>8.0967321533098122</v>
      </c>
      <c r="AA210" s="15">
        <f t="shared" si="93"/>
        <v>11.340342485802907</v>
      </c>
      <c r="AB210" s="24">
        <v>3330.2105871954759</v>
      </c>
      <c r="AC210" s="15">
        <f t="shared" si="94"/>
        <v>4664.3173929380246</v>
      </c>
      <c r="AD210" s="24">
        <v>129.74846443618739</v>
      </c>
      <c r="AE210" s="15">
        <f t="shared" si="95"/>
        <v>181.72665167291009</v>
      </c>
      <c r="AF210" s="24">
        <v>538.21585247603662</v>
      </c>
      <c r="AG210" s="15">
        <f t="shared" si="96"/>
        <v>753.82907360614558</v>
      </c>
      <c r="AH210" s="24">
        <v>12.590406548993</v>
      </c>
      <c r="AI210" s="15">
        <f t="shared" si="97"/>
        <v>17.634215829000905</v>
      </c>
    </row>
    <row r="211" spans="1:35" x14ac:dyDescent="0.45">
      <c r="A211" s="11" t="s">
        <v>2</v>
      </c>
      <c r="B211" s="11" t="s">
        <v>7</v>
      </c>
      <c r="C211" s="18" t="s">
        <v>5</v>
      </c>
      <c r="D211" t="s">
        <v>64</v>
      </c>
      <c r="E211" t="s">
        <v>57</v>
      </c>
      <c r="F211" t="s">
        <v>44</v>
      </c>
      <c r="G211" s="12">
        <v>1.4006073402301149</v>
      </c>
      <c r="H211" s="25">
        <v>0.12996875707433514</v>
      </c>
      <c r="I211" s="19">
        <f t="shared" si="84"/>
        <v>1820.3519515889845</v>
      </c>
      <c r="J211" s="15">
        <v>110.71431263959155</v>
      </c>
      <c r="K211" s="15">
        <f t="shared" si="85"/>
        <v>155.06727895154373</v>
      </c>
      <c r="L211" s="26">
        <v>33802.157398813346</v>
      </c>
      <c r="M211" s="15">
        <f t="shared" si="86"/>
        <v>47343.549768391662</v>
      </c>
      <c r="N211" s="15">
        <v>118.55249406540334</v>
      </c>
      <c r="O211" s="15">
        <f t="shared" si="87"/>
        <v>166.04549339059105</v>
      </c>
      <c r="P211" s="27">
        <v>3.6656823074094005</v>
      </c>
      <c r="Q211" s="19">
        <f t="shared" si="88"/>
        <v>51.341815467092708</v>
      </c>
      <c r="R211" s="27">
        <v>1.1089459081238524</v>
      </c>
      <c r="S211" s="19">
        <f t="shared" si="89"/>
        <v>15.531977788364184</v>
      </c>
      <c r="T211" s="27">
        <v>16.552859701954738</v>
      </c>
      <c r="U211" s="15">
        <f t="shared" si="90"/>
        <v>23.184056800357077</v>
      </c>
      <c r="V211" s="27">
        <v>6.6592954321714206</v>
      </c>
      <c r="W211" s="15">
        <f t="shared" si="91"/>
        <v>9.3270580630601678</v>
      </c>
      <c r="X211" s="27">
        <v>12.837427899590569</v>
      </c>
      <c r="Y211" s="15">
        <f t="shared" si="92"/>
        <v>17.980195745841417</v>
      </c>
      <c r="Z211" s="27">
        <v>3.714578087887527</v>
      </c>
      <c r="AA211" s="15">
        <f t="shared" si="93"/>
        <v>5.2026653357532151</v>
      </c>
      <c r="AB211" s="24">
        <v>3431.4038634784738</v>
      </c>
      <c r="AC211" s="15">
        <f t="shared" si="94"/>
        <v>4806.0494384819258</v>
      </c>
      <c r="AD211" s="24">
        <v>159.25904954159634</v>
      </c>
      <c r="AE211" s="15">
        <f t="shared" si="95"/>
        <v>223.05939378603136</v>
      </c>
      <c r="AF211" s="24">
        <v>619.22433078344352</v>
      </c>
      <c r="AG211" s="15">
        <f t="shared" si="96"/>
        <v>867.29014294437172</v>
      </c>
      <c r="AH211" s="24">
        <v>10.582344739277124</v>
      </c>
      <c r="AI211" s="15">
        <f t="shared" si="97"/>
        <v>14.821709718677083</v>
      </c>
    </row>
    <row r="212" spans="1:35" x14ac:dyDescent="0.45">
      <c r="A212" s="11" t="s">
        <v>2</v>
      </c>
      <c r="B212" s="11" t="s">
        <v>7</v>
      </c>
      <c r="C212" s="18" t="s">
        <v>5</v>
      </c>
      <c r="D212" t="s">
        <v>64</v>
      </c>
      <c r="E212" t="s">
        <v>51</v>
      </c>
      <c r="F212" t="s">
        <v>45</v>
      </c>
      <c r="G212" s="12">
        <v>1.4006073402301149</v>
      </c>
      <c r="H212" s="25">
        <v>0.12496996808005006</v>
      </c>
      <c r="I212" s="19">
        <f t="shared" si="84"/>
        <v>1750.3385460124127</v>
      </c>
      <c r="J212" s="15">
        <v>138.73877486440455</v>
      </c>
      <c r="K212" s="15">
        <f t="shared" si="85"/>
        <v>194.3185464496184</v>
      </c>
      <c r="L212" s="26">
        <v>28903.911430084274</v>
      </c>
      <c r="M212" s="15">
        <f t="shared" si="86"/>
        <v>40483.03051033715</v>
      </c>
      <c r="N212" s="15">
        <v>105.01754486263954</v>
      </c>
      <c r="O212" s="15">
        <f t="shared" si="87"/>
        <v>147.08834418755836</v>
      </c>
      <c r="P212" s="27">
        <v>4.261569578122482</v>
      </c>
      <c r="Q212" s="19">
        <f t="shared" si="88"/>
        <v>59.687856320197028</v>
      </c>
      <c r="R212" s="27">
        <v>1.1837693272562448</v>
      </c>
      <c r="S212" s="19">
        <f t="shared" si="89"/>
        <v>16.579960088943615</v>
      </c>
      <c r="T212" s="27">
        <v>14.223947647663969</v>
      </c>
      <c r="U212" s="15">
        <f t="shared" si="90"/>
        <v>19.922165482367031</v>
      </c>
      <c r="V212" s="27">
        <v>5.4414427121439557</v>
      </c>
      <c r="W212" s="15">
        <f t="shared" si="91"/>
        <v>7.6213246040704892</v>
      </c>
      <c r="X212" s="27">
        <v>26.225148393518843</v>
      </c>
      <c r="Y212" s="15">
        <f t="shared" si="92"/>
        <v>36.731135338586505</v>
      </c>
      <c r="Z212" s="27">
        <v>5.3111687613928114</v>
      </c>
      <c r="AA212" s="15">
        <f t="shared" si="93"/>
        <v>7.4388619524076596</v>
      </c>
      <c r="AB212" s="24">
        <v>2871.1199795771668</v>
      </c>
      <c r="AC212" s="15">
        <f t="shared" si="94"/>
        <v>4021.3117180771173</v>
      </c>
      <c r="AD212" s="24">
        <v>206.88210749150059</v>
      </c>
      <c r="AE212" s="15">
        <f t="shared" si="95"/>
        <v>289.76059831487134</v>
      </c>
      <c r="AF212" s="24">
        <v>454.13145546914768</v>
      </c>
      <c r="AG212" s="15">
        <f t="shared" si="96"/>
        <v>636.05984995947381</v>
      </c>
      <c r="AH212" s="24">
        <v>8.2046416288092683</v>
      </c>
      <c r="AI212" s="15">
        <f t="shared" si="97"/>
        <v>11.491481289267826</v>
      </c>
    </row>
    <row r="213" spans="1:35" x14ac:dyDescent="0.45">
      <c r="A213" s="11" t="s">
        <v>2</v>
      </c>
      <c r="B213" s="11" t="s">
        <v>7</v>
      </c>
      <c r="C213" s="10" t="s">
        <v>5</v>
      </c>
      <c r="D213" t="s">
        <v>64</v>
      </c>
      <c r="E213" t="s">
        <v>52</v>
      </c>
      <c r="F213" t="s">
        <v>45</v>
      </c>
      <c r="G213" s="12">
        <v>1.4006073402301149</v>
      </c>
      <c r="H213" s="25">
        <v>0.11422664722625854</v>
      </c>
      <c r="I213" s="19">
        <f t="shared" ref="I213:I244" si="98">G213*0.1*10000*H213/100*1000</f>
        <v>1599.8668055497362</v>
      </c>
      <c r="J213" s="15">
        <v>75.341471175995608</v>
      </c>
      <c r="K213" s="15">
        <f t="shared" ref="K213:K244" si="99">G213*0.1*10000*1000*J213/1000000</f>
        <v>105.52381755283508</v>
      </c>
      <c r="L213" s="26">
        <v>27045.656319588168</v>
      </c>
      <c r="M213" s="15">
        <f t="shared" ref="M213:M244" si="100">G213*0.1*10000*1000*L213/1000000</f>
        <v>37880.344762556182</v>
      </c>
      <c r="N213" s="15">
        <v>94.852980377984224</v>
      </c>
      <c r="O213" s="15">
        <f t="shared" ref="O213:O244" si="101">G213*0.1*10000*1000*N213/1000000</f>
        <v>132.85178056010776</v>
      </c>
      <c r="P213" s="27">
        <v>3.5870267610150934</v>
      </c>
      <c r="Q213" s="19">
        <f t="shared" ref="Q213:Q244" si="102">G213*0.1*10000*P213/100</f>
        <v>50.240160110795941</v>
      </c>
      <c r="R213" s="27">
        <v>1.0801841950784088</v>
      </c>
      <c r="S213" s="19">
        <f t="shared" ref="S213:S244" si="103">G213*0.1*10000*R213/100</f>
        <v>15.129139124273777</v>
      </c>
      <c r="T213" s="27">
        <v>16.01944749951253</v>
      </c>
      <c r="U213" s="15">
        <f t="shared" ref="U213:U244" si="104">G213*0.1*10000*1000*T213/1000000</f>
        <v>22.436955754248213</v>
      </c>
      <c r="V213" s="27">
        <v>5.4583982844752157</v>
      </c>
      <c r="W213" s="15">
        <f t="shared" ref="W213:W244" si="105">G213*0.1*10000*1000*V213/1000000</f>
        <v>7.6450727031354537</v>
      </c>
      <c r="X213" s="27">
        <v>11.638955792154199</v>
      </c>
      <c r="Y213" s="15">
        <f t="shared" ref="Y213:Y244" si="106">G213*0.1*10000*1000*X213/1000000</f>
        <v>16.301606915104983</v>
      </c>
      <c r="Z213" s="27">
        <v>1.6694070354580557</v>
      </c>
      <c r="AA213" s="15">
        <f t="shared" ref="AA213:AA244" si="107">G213*0.1*10000*1000*Z213/1000000</f>
        <v>2.3381837476943486</v>
      </c>
      <c r="AB213" s="24">
        <v>2797.4654181321271</v>
      </c>
      <c r="AC213" s="15">
        <f t="shared" ref="AC213:AC244" si="108">G213*0.1*10000*1000*AB213/1000000</f>
        <v>3918.1505986757652</v>
      </c>
      <c r="AD213" s="24">
        <v>137.17868950560344</v>
      </c>
      <c r="AE213" s="15">
        <f t="shared" ref="AE213:AE244" si="109">G213*0.1*10000*1000*AD213/1000000</f>
        <v>192.13347944469604</v>
      </c>
      <c r="AF213" s="24">
        <v>543.81551911149938</v>
      </c>
      <c r="AG213" s="15">
        <f t="shared" ref="AG213:AG244" si="110">G213*0.1*10000*1000*AF213/1000000</f>
        <v>761.67200779861639</v>
      </c>
      <c r="AH213" s="24">
        <v>9.6612991323232134</v>
      </c>
      <c r="AI213" s="15">
        <f t="shared" ref="AI213:AI244" si="111">G213*0.1*10000*1000*AH213/1000000</f>
        <v>13.531686480890734</v>
      </c>
    </row>
    <row r="214" spans="1:35" x14ac:dyDescent="0.45">
      <c r="A214" s="11" t="s">
        <v>2</v>
      </c>
      <c r="B214" s="11" t="s">
        <v>7</v>
      </c>
      <c r="C214" s="18" t="s">
        <v>5</v>
      </c>
      <c r="D214" t="s">
        <v>64</v>
      </c>
      <c r="E214" t="s">
        <v>53</v>
      </c>
      <c r="F214" t="s">
        <v>45</v>
      </c>
      <c r="G214" s="12">
        <v>1.4006073402301149</v>
      </c>
      <c r="H214" s="25">
        <v>0.11493141386088077</v>
      </c>
      <c r="I214" s="19">
        <f t="shared" si="98"/>
        <v>1609.7378187657478</v>
      </c>
      <c r="J214" s="15">
        <v>68.698277396828189</v>
      </c>
      <c r="K214" s="15">
        <f t="shared" si="99"/>
        <v>96.219311583162153</v>
      </c>
      <c r="L214" s="26">
        <v>30385.776540904772</v>
      </c>
      <c r="M214" s="15">
        <f t="shared" si="100"/>
        <v>42558.54166178326</v>
      </c>
      <c r="N214" s="15">
        <v>98.57593058420612</v>
      </c>
      <c r="O214" s="15">
        <f t="shared" si="101"/>
        <v>138.06617194625338</v>
      </c>
      <c r="P214" s="27">
        <v>3.7185442607932604</v>
      </c>
      <c r="Q214" s="19">
        <f t="shared" si="102"/>
        <v>52.082203866376076</v>
      </c>
      <c r="R214" s="27">
        <v>1.0712703687603853</v>
      </c>
      <c r="S214" s="19">
        <f t="shared" si="103"/>
        <v>15.004291418568176</v>
      </c>
      <c r="T214" s="27">
        <v>18.843401741462866</v>
      </c>
      <c r="U214" s="15">
        <f t="shared" si="104"/>
        <v>26.392206793997822</v>
      </c>
      <c r="V214" s="27">
        <v>7.0833153246376872</v>
      </c>
      <c r="W214" s="15">
        <f t="shared" si="105"/>
        <v>9.9209434368520046</v>
      </c>
      <c r="X214" s="27">
        <v>17.646653037685059</v>
      </c>
      <c r="Y214" s="15">
        <f t="shared" si="106"/>
        <v>24.716031775075749</v>
      </c>
      <c r="Z214" s="27">
        <v>6.8557389286653931</v>
      </c>
      <c r="AA214" s="15">
        <f t="shared" si="107"/>
        <v>9.6021982661900953</v>
      </c>
      <c r="AB214" s="24">
        <v>2701.4029378148857</v>
      </c>
      <c r="AC214" s="15">
        <f t="shared" si="108"/>
        <v>3783.6047836227258</v>
      </c>
      <c r="AD214" s="24">
        <v>167.63846268309197</v>
      </c>
      <c r="AE214" s="15">
        <f t="shared" si="109"/>
        <v>234.79566133883083</v>
      </c>
      <c r="AF214" s="24">
        <v>561.48786296264541</v>
      </c>
      <c r="AG214" s="15">
        <f t="shared" si="110"/>
        <v>786.42402231560209</v>
      </c>
      <c r="AH214" s="24">
        <v>8.806068642147963</v>
      </c>
      <c r="AI214" s="15">
        <f t="shared" si="111"/>
        <v>12.333844378762679</v>
      </c>
    </row>
    <row r="215" spans="1:35" x14ac:dyDescent="0.45">
      <c r="A215" s="11" t="s">
        <v>2</v>
      </c>
      <c r="B215" s="11" t="s">
        <v>7</v>
      </c>
      <c r="C215" s="10" t="s">
        <v>5</v>
      </c>
      <c r="D215" t="s">
        <v>64</v>
      </c>
      <c r="E215" t="s">
        <v>54</v>
      </c>
      <c r="F215" t="s">
        <v>45</v>
      </c>
      <c r="G215" s="12">
        <v>1.4006073402301149</v>
      </c>
      <c r="H215" s="25">
        <v>0.12521236037656983</v>
      </c>
      <c r="I215" s="19">
        <f t="shared" si="98"/>
        <v>1753.7335103096207</v>
      </c>
      <c r="J215" s="15">
        <v>83.338169476060841</v>
      </c>
      <c r="K215" s="15">
        <f t="shared" si="99"/>
        <v>116.72405188951214</v>
      </c>
      <c r="L215" s="26">
        <v>29998.093826722117</v>
      </c>
      <c r="M215" s="15">
        <f t="shared" si="100"/>
        <v>42015.550406618699</v>
      </c>
      <c r="N215" s="15">
        <v>107.5919474636234</v>
      </c>
      <c r="O215" s="15">
        <f t="shared" si="101"/>
        <v>150.69407136720383</v>
      </c>
      <c r="P215" s="27">
        <v>3.3087259233559032</v>
      </c>
      <c r="Q215" s="19">
        <f t="shared" si="102"/>
        <v>46.342258150619429</v>
      </c>
      <c r="R215" s="27">
        <v>1.1233328752134242</v>
      </c>
      <c r="S215" s="19">
        <f t="shared" si="103"/>
        <v>15.733482705457215</v>
      </c>
      <c r="T215" s="27">
        <v>15.731904221061624</v>
      </c>
      <c r="U215" s="15">
        <f t="shared" si="104"/>
        <v>22.034220527816043</v>
      </c>
      <c r="V215" s="27">
        <v>11.512873039999471</v>
      </c>
      <c r="W215" s="15">
        <f t="shared" si="105"/>
        <v>16.125014486960659</v>
      </c>
      <c r="X215" s="27">
        <v>14.606307291503029</v>
      </c>
      <c r="Y215" s="15">
        <f t="shared" si="106"/>
        <v>20.457701206135791</v>
      </c>
      <c r="Z215" s="27">
        <v>5.1273436217581869</v>
      </c>
      <c r="AA215" s="15">
        <f t="shared" si="107"/>
        <v>7.1813951125165794</v>
      </c>
      <c r="AB215" s="24">
        <v>2890.4295995910475</v>
      </c>
      <c r="AC215" s="15">
        <f t="shared" si="108"/>
        <v>4048.356913605613</v>
      </c>
      <c r="AD215" s="24">
        <v>155.1841316025675</v>
      </c>
      <c r="AE215" s="15">
        <f t="shared" si="109"/>
        <v>217.3520338097922</v>
      </c>
      <c r="AF215" s="24">
        <v>640.76028532673035</v>
      </c>
      <c r="AG215" s="15">
        <f t="shared" si="110"/>
        <v>897.45355895656132</v>
      </c>
      <c r="AH215" s="24">
        <v>20.924828067701036</v>
      </c>
      <c r="AI215" s="15">
        <f t="shared" si="111"/>
        <v>29.307467784675204</v>
      </c>
    </row>
    <row r="216" spans="1:35" x14ac:dyDescent="0.45">
      <c r="A216" s="11" t="s">
        <v>2</v>
      </c>
      <c r="B216" s="11" t="s">
        <v>7</v>
      </c>
      <c r="C216" s="10" t="s">
        <v>5</v>
      </c>
      <c r="D216" t="s">
        <v>64</v>
      </c>
      <c r="E216" t="s">
        <v>55</v>
      </c>
      <c r="F216" t="s">
        <v>45</v>
      </c>
      <c r="G216" s="12">
        <v>1.4006073402301149</v>
      </c>
      <c r="H216" s="25">
        <v>0.1909204700174692</v>
      </c>
      <c r="I216" s="19">
        <f t="shared" si="98"/>
        <v>2674.0461170665094</v>
      </c>
      <c r="J216" s="15">
        <v>164.70210396808022</v>
      </c>
      <c r="K216" s="15">
        <f t="shared" si="99"/>
        <v>230.68297576903672</v>
      </c>
      <c r="L216" s="26">
        <v>29876.195603512224</v>
      </c>
      <c r="M216" s="15">
        <f t="shared" si="100"/>
        <v>41844.818860429907</v>
      </c>
      <c r="N216" s="15">
        <v>124.48414834796759</v>
      </c>
      <c r="O216" s="15">
        <f t="shared" si="101"/>
        <v>174.35341191845797</v>
      </c>
      <c r="P216" s="27">
        <v>4.6954198897058825</v>
      </c>
      <c r="Q216" s="19">
        <f t="shared" si="102"/>
        <v>65.764395629845353</v>
      </c>
      <c r="R216" s="27">
        <v>1.9133318933823533</v>
      </c>
      <c r="S216" s="19">
        <f t="shared" si="103"/>
        <v>26.798266941677074</v>
      </c>
      <c r="T216" s="27">
        <v>25.598849892292147</v>
      </c>
      <c r="U216" s="15">
        <f t="shared" si="104"/>
        <v>35.853937060593267</v>
      </c>
      <c r="V216" s="27">
        <v>5.9245126725450286</v>
      </c>
      <c r="W216" s="15">
        <f t="shared" si="105"/>
        <v>8.2979159364529025</v>
      </c>
      <c r="X216" s="27">
        <v>25.241832334125856</v>
      </c>
      <c r="Y216" s="15">
        <f t="shared" si="106"/>
        <v>35.353895648034531</v>
      </c>
      <c r="Z216" s="27">
        <v>11.006962630210561</v>
      </c>
      <c r="AA216" s="15">
        <f t="shared" si="107"/>
        <v>15.416432653511485</v>
      </c>
      <c r="AB216" s="24">
        <v>3848.1290094339629</v>
      </c>
      <c r="AC216" s="15">
        <f t="shared" si="108"/>
        <v>5389.7177367656495</v>
      </c>
      <c r="AD216" s="24">
        <v>231.23898966426196</v>
      </c>
      <c r="AE216" s="15">
        <f t="shared" si="109"/>
        <v>323.875026271161</v>
      </c>
      <c r="AF216" s="24">
        <v>501.50565690898998</v>
      </c>
      <c r="AG216" s="15">
        <f t="shared" si="110"/>
        <v>702.41250423365705</v>
      </c>
      <c r="AH216" s="24">
        <v>11.513164886237517</v>
      </c>
      <c r="AI216" s="15">
        <f t="shared" si="111"/>
        <v>16.125423248943882</v>
      </c>
    </row>
    <row r="217" spans="1:35" x14ac:dyDescent="0.45">
      <c r="A217" s="11" t="s">
        <v>2</v>
      </c>
      <c r="B217" s="11" t="s">
        <v>7</v>
      </c>
      <c r="C217" s="10" t="s">
        <v>5</v>
      </c>
      <c r="D217" t="s">
        <v>64</v>
      </c>
      <c r="E217" t="s">
        <v>56</v>
      </c>
      <c r="F217" t="s">
        <v>45</v>
      </c>
      <c r="G217" s="12">
        <v>1.4006073402301149</v>
      </c>
      <c r="H217" s="25">
        <v>0.12232115136040547</v>
      </c>
      <c r="I217" s="19">
        <f t="shared" si="98"/>
        <v>1713.2390246078282</v>
      </c>
      <c r="J217" s="15">
        <v>81.803399662174954</v>
      </c>
      <c r="K217" s="15">
        <f t="shared" si="99"/>
        <v>114.57444202261995</v>
      </c>
      <c r="L217" s="26">
        <v>28650.483136398543</v>
      </c>
      <c r="M217" s="15">
        <f t="shared" si="100"/>
        <v>40128.076981978928</v>
      </c>
      <c r="N217" s="15">
        <v>103.21891230958397</v>
      </c>
      <c r="O217" s="15">
        <f t="shared" si="101"/>
        <v>144.56916623137187</v>
      </c>
      <c r="P217" s="27">
        <v>3.967966508236056</v>
      </c>
      <c r="Q217" s="19">
        <f t="shared" si="102"/>
        <v>55.575630172226781</v>
      </c>
      <c r="R217" s="27">
        <v>1.2076419807674952</v>
      </c>
      <c r="S217" s="19">
        <f t="shared" si="103"/>
        <v>16.91432222632989</v>
      </c>
      <c r="T217" s="27">
        <v>16.582918002697937</v>
      </c>
      <c r="U217" s="15">
        <f t="shared" si="104"/>
        <v>23.226156677012849</v>
      </c>
      <c r="V217" s="27">
        <v>5.2891805639705671</v>
      </c>
      <c r="W217" s="15">
        <f t="shared" si="105"/>
        <v>7.4080651216996358</v>
      </c>
      <c r="X217" s="27">
        <v>18.599316268907486</v>
      </c>
      <c r="Y217" s="15">
        <f t="shared" si="106"/>
        <v>26.050338889493219</v>
      </c>
      <c r="Z217" s="27">
        <v>4.8338848011379358</v>
      </c>
      <c r="AA217" s="15">
        <f t="shared" si="107"/>
        <v>6.7703745343005828</v>
      </c>
      <c r="AB217" s="24">
        <v>3117.6600909438807</v>
      </c>
      <c r="AC217" s="15">
        <f t="shared" si="108"/>
        <v>4366.6176077184864</v>
      </c>
      <c r="AD217" s="24">
        <v>165.88488746806252</v>
      </c>
      <c r="AE217" s="15">
        <f t="shared" si="109"/>
        <v>232.339591021015</v>
      </c>
      <c r="AF217" s="24">
        <v>534.73481372057802</v>
      </c>
      <c r="AG217" s="15">
        <f t="shared" si="110"/>
        <v>748.95350517362476</v>
      </c>
      <c r="AH217" s="24">
        <v>12.490156232889413</v>
      </c>
      <c r="AI217" s="15">
        <f t="shared" si="111"/>
        <v>17.493804500405833</v>
      </c>
    </row>
    <row r="218" spans="1:35" x14ac:dyDescent="0.45">
      <c r="A218" s="11" t="s">
        <v>2</v>
      </c>
      <c r="B218" s="11" t="s">
        <v>7</v>
      </c>
      <c r="C218" s="10" t="s">
        <v>5</v>
      </c>
      <c r="D218" t="s">
        <v>64</v>
      </c>
      <c r="E218" t="s">
        <v>57</v>
      </c>
      <c r="F218" t="s">
        <v>45</v>
      </c>
      <c r="G218" s="12">
        <v>1.4006073402301149</v>
      </c>
      <c r="H218" s="25">
        <v>0.12719904594698161</v>
      </c>
      <c r="I218" s="19">
        <f t="shared" si="98"/>
        <v>1781.5591742361009</v>
      </c>
      <c r="J218" s="15">
        <v>102.00459808365186</v>
      </c>
      <c r="K218" s="15">
        <f t="shared" si="99"/>
        <v>142.8683888131855</v>
      </c>
      <c r="L218" s="26">
        <v>32116.299198615139</v>
      </c>
      <c r="M218" s="15">
        <f t="shared" si="100"/>
        <v>44982.324398606928</v>
      </c>
      <c r="N218" s="15">
        <v>120.18363536588683</v>
      </c>
      <c r="O218" s="15">
        <f t="shared" si="101"/>
        <v>168.33008186900074</v>
      </c>
      <c r="P218" s="27">
        <v>3.9084122199592666</v>
      </c>
      <c r="Q218" s="19">
        <f t="shared" si="102"/>
        <v>54.741508439200267</v>
      </c>
      <c r="R218" s="27">
        <v>1.182808961303462</v>
      </c>
      <c r="S218" s="19">
        <f t="shared" si="103"/>
        <v>16.566509132915868</v>
      </c>
      <c r="T218" s="27">
        <v>15.21685092968842</v>
      </c>
      <c r="U218" s="15">
        <f t="shared" si="104"/>
        <v>21.31283310730905</v>
      </c>
      <c r="V218" s="27">
        <v>6.1334777877205138</v>
      </c>
      <c r="W218" s="15">
        <f t="shared" si="105"/>
        <v>8.5905940106197178</v>
      </c>
      <c r="X218" s="27">
        <v>15.802495319318139</v>
      </c>
      <c r="Y218" s="15">
        <f t="shared" si="106"/>
        <v>22.133090938189017</v>
      </c>
      <c r="Z218" s="27">
        <v>4.1703742282749348</v>
      </c>
      <c r="AA218" s="15">
        <f t="shared" si="107"/>
        <v>5.8410567556283741</v>
      </c>
      <c r="AB218" s="24">
        <v>3319.9746514178278</v>
      </c>
      <c r="AC218" s="15">
        <f t="shared" si="108"/>
        <v>4649.9808661537263</v>
      </c>
      <c r="AD218" s="24">
        <v>175.04781450728495</v>
      </c>
      <c r="AE218" s="15">
        <f t="shared" si="109"/>
        <v>245.17325389014292</v>
      </c>
      <c r="AF218" s="24">
        <v>578.54786150712835</v>
      </c>
      <c r="AG218" s="15">
        <f t="shared" si="110"/>
        <v>810.31838150132</v>
      </c>
      <c r="AH218" s="24">
        <v>15.724634184552716</v>
      </c>
      <c r="AI218" s="15">
        <f t="shared" si="111"/>
        <v>22.024038061317924</v>
      </c>
    </row>
    <row r="219" spans="1:35" x14ac:dyDescent="0.45">
      <c r="A219" s="11" t="s">
        <v>2</v>
      </c>
      <c r="B219" s="11" t="s">
        <v>7</v>
      </c>
      <c r="C219" s="18" t="s">
        <v>5</v>
      </c>
      <c r="D219" t="s">
        <v>64</v>
      </c>
      <c r="E219" t="s">
        <v>51</v>
      </c>
      <c r="F219" t="s">
        <v>46</v>
      </c>
      <c r="G219" s="12">
        <v>1.4006073402301149</v>
      </c>
      <c r="H219" s="25">
        <v>0.14285254445182513</v>
      </c>
      <c r="I219" s="19">
        <f t="shared" si="98"/>
        <v>2000.8032232977505</v>
      </c>
      <c r="J219" s="15">
        <v>118.82833471164105</v>
      </c>
      <c r="K219" s="15">
        <f t="shared" si="99"/>
        <v>166.43183782444544</v>
      </c>
      <c r="L219" s="26">
        <v>28477.825042962257</v>
      </c>
      <c r="M219" s="15">
        <f t="shared" si="100"/>
        <v>39886.25078896193</v>
      </c>
      <c r="N219" s="15">
        <v>101.20896094405289</v>
      </c>
      <c r="O219" s="15">
        <f t="shared" si="101"/>
        <v>141.75401359530352</v>
      </c>
      <c r="P219" s="27">
        <v>4.376263178634499</v>
      </c>
      <c r="Q219" s="19">
        <f t="shared" si="102"/>
        <v>61.29426330774254</v>
      </c>
      <c r="R219" s="27">
        <v>1.3592158578347149</v>
      </c>
      <c r="S219" s="19">
        <f t="shared" si="103"/>
        <v>19.037277074404741</v>
      </c>
      <c r="T219" s="27">
        <v>24.607710095576525</v>
      </c>
      <c r="U219" s="15">
        <f t="shared" si="104"/>
        <v>34.465739386119189</v>
      </c>
      <c r="V219" s="27">
        <v>8.5608950997958431</v>
      </c>
      <c r="W219" s="15">
        <f t="shared" si="105"/>
        <v>11.990452515714081</v>
      </c>
      <c r="X219" s="27">
        <v>16.368356087398432</v>
      </c>
      <c r="Y219" s="15">
        <f t="shared" si="106"/>
        <v>22.925639683510532</v>
      </c>
      <c r="Z219" s="27">
        <v>2.4109891590184116</v>
      </c>
      <c r="AA219" s="15">
        <f t="shared" si="107"/>
        <v>3.3768491133364194</v>
      </c>
      <c r="AB219" s="24">
        <v>3049.9980082624434</v>
      </c>
      <c r="AC219" s="15">
        <f t="shared" si="108"/>
        <v>4271.849598059609</v>
      </c>
      <c r="AD219" s="24">
        <v>133.86216781705525</v>
      </c>
      <c r="AE219" s="15">
        <f t="shared" si="109"/>
        <v>187.48833482368306</v>
      </c>
      <c r="AF219" s="24">
        <v>504.55740177197742</v>
      </c>
      <c r="AG219" s="15">
        <f t="shared" si="110"/>
        <v>706.68680048926672</v>
      </c>
      <c r="AH219" s="24">
        <v>8.3612369436499119</v>
      </c>
      <c r="AI219" s="15">
        <f t="shared" si="111"/>
        <v>11.71080983667928</v>
      </c>
    </row>
    <row r="220" spans="1:35" x14ac:dyDescent="0.45">
      <c r="A220" s="11" t="s">
        <v>2</v>
      </c>
      <c r="B220" s="11" t="s">
        <v>7</v>
      </c>
      <c r="C220" s="10" t="s">
        <v>5</v>
      </c>
      <c r="D220" t="s">
        <v>64</v>
      </c>
      <c r="E220" t="s">
        <v>52</v>
      </c>
      <c r="F220" t="s">
        <v>46</v>
      </c>
      <c r="G220" s="12">
        <v>1.4006073402301149</v>
      </c>
      <c r="H220" s="25">
        <v>0.11722452017647474</v>
      </c>
      <c r="I220" s="19">
        <f t="shared" si="98"/>
        <v>1641.8552341412371</v>
      </c>
      <c r="J220" s="15">
        <v>85.63382348939264</v>
      </c>
      <c r="K220" s="15">
        <f t="shared" si="99"/>
        <v>119.93936175121337</v>
      </c>
      <c r="L220" s="26">
        <v>27321.267494234791</v>
      </c>
      <c r="M220" s="15">
        <f t="shared" si="100"/>
        <v>38266.367796815692</v>
      </c>
      <c r="N220" s="15">
        <v>97.255556677238772</v>
      </c>
      <c r="O220" s="15">
        <f t="shared" si="101"/>
        <v>136.21684656030661</v>
      </c>
      <c r="P220" s="27">
        <v>4.0424975553587243</v>
      </c>
      <c r="Q220" s="19">
        <f t="shared" si="102"/>
        <v>56.619517488977245</v>
      </c>
      <c r="R220" s="27">
        <v>1.090342852081488</v>
      </c>
      <c r="S220" s="19">
        <f t="shared" si="103"/>
        <v>15.271422019927705</v>
      </c>
      <c r="T220" s="27">
        <v>15.615071372000255</v>
      </c>
      <c r="U220" s="15">
        <f t="shared" si="104"/>
        <v>21.870583581840691</v>
      </c>
      <c r="V220" s="27">
        <v>5.3181446996046571</v>
      </c>
      <c r="W220" s="15">
        <f t="shared" si="105"/>
        <v>7.4486325026721625</v>
      </c>
      <c r="X220" s="27">
        <v>11.167102335328046</v>
      </c>
      <c r="Y220" s="15">
        <f t="shared" si="106"/>
        <v>15.64072549996132</v>
      </c>
      <c r="Z220" s="27">
        <v>1.8728682840415649</v>
      </c>
      <c r="AA220" s="15">
        <f t="shared" si="107"/>
        <v>2.6231530659127955</v>
      </c>
      <c r="AB220" s="24">
        <v>2925.1532883082368</v>
      </c>
      <c r="AC220" s="15">
        <f t="shared" si="108"/>
        <v>4096.9911669027742</v>
      </c>
      <c r="AD220" s="24">
        <v>122.14925819309121</v>
      </c>
      <c r="AE220" s="15">
        <f t="shared" si="109"/>
        <v>171.08314762890706</v>
      </c>
      <c r="AF220" s="24">
        <v>514.31266607617351</v>
      </c>
      <c r="AG220" s="15">
        <f t="shared" si="110"/>
        <v>720.35009527960869</v>
      </c>
      <c r="AH220" s="24">
        <v>12.10777734720992</v>
      </c>
      <c r="AI220" s="15">
        <f t="shared" si="111"/>
        <v>16.958241826374124</v>
      </c>
    </row>
    <row r="221" spans="1:35" x14ac:dyDescent="0.45">
      <c r="A221" s="11" t="s">
        <v>2</v>
      </c>
      <c r="B221" s="11" t="s">
        <v>7</v>
      </c>
      <c r="C221" s="10" t="s">
        <v>5</v>
      </c>
      <c r="D221" t="s">
        <v>64</v>
      </c>
      <c r="E221" t="s">
        <v>53</v>
      </c>
      <c r="F221" t="s">
        <v>46</v>
      </c>
      <c r="G221" s="12">
        <v>1.4006073402301149</v>
      </c>
      <c r="H221" s="25">
        <v>0.12474523932396687</v>
      </c>
      <c r="I221" s="19">
        <f t="shared" si="98"/>
        <v>1747.1909785591038</v>
      </c>
      <c r="J221" s="15">
        <v>105.93667791411256</v>
      </c>
      <c r="K221" s="15">
        <f t="shared" si="99"/>
        <v>148.37568868609955</v>
      </c>
      <c r="L221" s="26">
        <v>28499.778837071</v>
      </c>
      <c r="M221" s="15">
        <f t="shared" si="100"/>
        <v>39916.999434136538</v>
      </c>
      <c r="N221" s="15">
        <v>97.499243389979739</v>
      </c>
      <c r="O221" s="15">
        <f t="shared" si="101"/>
        <v>136.55815595888814</v>
      </c>
      <c r="P221" s="27">
        <v>3.9610530115830116</v>
      </c>
      <c r="Q221" s="19">
        <f t="shared" si="102"/>
        <v>55.478799230637691</v>
      </c>
      <c r="R221" s="27">
        <v>1.2006300579150577</v>
      </c>
      <c r="S221" s="19">
        <f t="shared" si="103"/>
        <v>16.816112720167379</v>
      </c>
      <c r="T221" s="27">
        <v>17.611720342183631</v>
      </c>
      <c r="U221" s="15">
        <f t="shared" si="104"/>
        <v>24.667104785342424</v>
      </c>
      <c r="V221" s="27">
        <v>4.3705604961636997</v>
      </c>
      <c r="W221" s="15">
        <f t="shared" si="105"/>
        <v>6.1214391118466507</v>
      </c>
      <c r="X221" s="27">
        <v>24.128300720793639</v>
      </c>
      <c r="Y221" s="15">
        <f t="shared" si="106"/>
        <v>33.794275096823149</v>
      </c>
      <c r="Z221" s="27">
        <v>10.796086363230057</v>
      </c>
      <c r="AA221" s="15">
        <f t="shared" si="107"/>
        <v>15.121077806098263</v>
      </c>
      <c r="AB221" s="24">
        <v>2520.1762150806271</v>
      </c>
      <c r="AC221" s="15">
        <f t="shared" si="108"/>
        <v>3529.7773055152757</v>
      </c>
      <c r="AD221" s="24">
        <v>212.27831592096297</v>
      </c>
      <c r="AE221" s="15">
        <f t="shared" si="109"/>
        <v>297.31856745058798</v>
      </c>
      <c r="AF221" s="24">
        <v>506.04735975471266</v>
      </c>
      <c r="AG221" s="15">
        <f t="shared" si="110"/>
        <v>708.77364657652015</v>
      </c>
      <c r="AH221" s="24">
        <v>10.261795366795367</v>
      </c>
      <c r="AI221" s="15">
        <f t="shared" si="111"/>
        <v>14.372745914672976</v>
      </c>
    </row>
    <row r="222" spans="1:35" x14ac:dyDescent="0.45">
      <c r="A222" s="11" t="s">
        <v>2</v>
      </c>
      <c r="B222" s="11" t="s">
        <v>7</v>
      </c>
      <c r="C222" s="18" t="s">
        <v>5</v>
      </c>
      <c r="D222" t="s">
        <v>64</v>
      </c>
      <c r="E222" t="s">
        <v>54</v>
      </c>
      <c r="F222" t="s">
        <v>46</v>
      </c>
      <c r="G222" s="12">
        <v>1.4006073402301149</v>
      </c>
      <c r="H222" s="25">
        <v>0.11668071844043049</v>
      </c>
      <c r="I222" s="19">
        <f t="shared" si="98"/>
        <v>1634.2387071099024</v>
      </c>
      <c r="J222" s="15">
        <v>145.19439748852935</v>
      </c>
      <c r="K222" s="15">
        <f t="shared" si="99"/>
        <v>203.36033888272317</v>
      </c>
      <c r="L222" s="26">
        <v>30804.757304998791</v>
      </c>
      <c r="M222" s="15">
        <f t="shared" si="100"/>
        <v>43145.369195388565</v>
      </c>
      <c r="N222" s="15">
        <v>113.80101424776623</v>
      </c>
      <c r="O222" s="15">
        <f t="shared" si="101"/>
        <v>159.39053588105327</v>
      </c>
      <c r="P222" s="27">
        <v>3.1817821782178215</v>
      </c>
      <c r="Q222" s="19">
        <f t="shared" si="102"/>
        <v>44.564274738252443</v>
      </c>
      <c r="R222" s="27">
        <v>1.2459405940594059</v>
      </c>
      <c r="S222" s="19">
        <f t="shared" si="103"/>
        <v>17.450735415302738</v>
      </c>
      <c r="T222" s="27">
        <v>15.864638758432942</v>
      </c>
      <c r="U222" s="15">
        <f t="shared" si="104"/>
        <v>22.220129495160357</v>
      </c>
      <c r="V222" s="27">
        <v>9.5366733168936424</v>
      </c>
      <c r="W222" s="15">
        <f t="shared" si="105"/>
        <v>13.357134649017913</v>
      </c>
      <c r="X222" s="27">
        <v>18.627244451604106</v>
      </c>
      <c r="Y222" s="15">
        <f t="shared" si="106"/>
        <v>26.089455307177396</v>
      </c>
      <c r="Z222" s="27">
        <v>7.8315716427712863</v>
      </c>
      <c r="AA222" s="15">
        <f t="shared" si="107"/>
        <v>10.968956728403482</v>
      </c>
      <c r="AB222" s="24">
        <v>3393.5776469703997</v>
      </c>
      <c r="AC222" s="15">
        <f t="shared" si="108"/>
        <v>4753.0697619875828</v>
      </c>
      <c r="AD222" s="24">
        <v>487.1118476409759</v>
      </c>
      <c r="AE222" s="15">
        <f t="shared" si="109"/>
        <v>682.25242931900425</v>
      </c>
      <c r="AF222" s="24">
        <v>564.32527163103282</v>
      </c>
      <c r="AG222" s="15">
        <f t="shared" si="110"/>
        <v>790.398117723778</v>
      </c>
      <c r="AH222" s="24">
        <v>17.349189094062154</v>
      </c>
      <c r="AI222" s="15">
        <f t="shared" si="111"/>
        <v>24.299401592183713</v>
      </c>
    </row>
    <row r="223" spans="1:35" x14ac:dyDescent="0.45">
      <c r="A223" s="11" t="s">
        <v>2</v>
      </c>
      <c r="B223" s="11" t="s">
        <v>7</v>
      </c>
      <c r="C223" s="18" t="s">
        <v>5</v>
      </c>
      <c r="D223" t="s">
        <v>64</v>
      </c>
      <c r="E223" t="s">
        <v>55</v>
      </c>
      <c r="F223" t="s">
        <v>46</v>
      </c>
      <c r="G223" s="12">
        <v>1.4006073402301149</v>
      </c>
      <c r="H223" s="25">
        <v>0.12201130839877916</v>
      </c>
      <c r="I223" s="19">
        <f t="shared" si="98"/>
        <v>1708.8993413441035</v>
      </c>
      <c r="J223" s="15">
        <v>164.5836146409562</v>
      </c>
      <c r="K223" s="15">
        <f t="shared" si="99"/>
        <v>230.51701874772786</v>
      </c>
      <c r="L223" s="26">
        <v>32520.135904960018</v>
      </c>
      <c r="M223" s="15">
        <f t="shared" si="100"/>
        <v>45547.941053767914</v>
      </c>
      <c r="N223" s="15">
        <v>118.97610696936592</v>
      </c>
      <c r="O223" s="15">
        <f t="shared" si="101"/>
        <v>166.63880873329722</v>
      </c>
      <c r="P223" s="27">
        <v>3.6153765358560261</v>
      </c>
      <c r="Q223" s="19">
        <f t="shared" si="102"/>
        <v>50.637229138156755</v>
      </c>
      <c r="R223" s="27">
        <v>1.2290231849935498</v>
      </c>
      <c r="S223" s="19">
        <f t="shared" si="103"/>
        <v>17.213788942149602</v>
      </c>
      <c r="T223" s="27">
        <v>12.384626871824404</v>
      </c>
      <c r="U223" s="15">
        <f t="shared" si="104"/>
        <v>17.345999302688387</v>
      </c>
      <c r="V223" s="27">
        <v>7.683543265346378</v>
      </c>
      <c r="W223" s="15">
        <f t="shared" si="105"/>
        <v>10.761627096419804</v>
      </c>
      <c r="X223" s="27">
        <v>17.84401824123205</v>
      </c>
      <c r="Y223" s="15">
        <f t="shared" si="106"/>
        <v>24.992462927869674</v>
      </c>
      <c r="Z223" s="27">
        <v>5.3683703603933255</v>
      </c>
      <c r="AA223" s="15">
        <f t="shared" si="107"/>
        <v>7.5189789318406799</v>
      </c>
      <c r="AB223" s="24">
        <v>3653.5865515433252</v>
      </c>
      <c r="AC223" s="15">
        <f t="shared" si="108"/>
        <v>5117.2401422576149</v>
      </c>
      <c r="AD223" s="24">
        <v>190.06528421775249</v>
      </c>
      <c r="AE223" s="15">
        <f t="shared" si="109"/>
        <v>266.20683219830715</v>
      </c>
      <c r="AF223" s="24">
        <v>498.30587468488483</v>
      </c>
      <c r="AG223" s="15">
        <f t="shared" si="110"/>
        <v>697.93086576343751</v>
      </c>
      <c r="AH223" s="24">
        <v>15.165830968670408</v>
      </c>
      <c r="AI223" s="15">
        <f t="shared" si="111"/>
        <v>21.241374175408968</v>
      </c>
    </row>
    <row r="224" spans="1:35" x14ac:dyDescent="0.45">
      <c r="A224" s="11" t="s">
        <v>2</v>
      </c>
      <c r="B224" s="11" t="s">
        <v>7</v>
      </c>
      <c r="C224" s="18" t="s">
        <v>5</v>
      </c>
      <c r="D224" t="s">
        <v>64</v>
      </c>
      <c r="E224" t="s">
        <v>56</v>
      </c>
      <c r="F224" t="s">
        <v>46</v>
      </c>
      <c r="G224" s="12">
        <v>1.4006073402301149</v>
      </c>
      <c r="H224" s="25">
        <v>0.1205885958361498</v>
      </c>
      <c r="I224" s="19">
        <f t="shared" si="98"/>
        <v>1688.972724761541</v>
      </c>
      <c r="J224" s="15">
        <v>136.77720710771641</v>
      </c>
      <c r="K224" s="15">
        <f t="shared" si="99"/>
        <v>191.57116025124225</v>
      </c>
      <c r="L224" s="26">
        <v>33104.048676795137</v>
      </c>
      <c r="M224" s="15">
        <f t="shared" si="100"/>
        <v>46365.77356805429</v>
      </c>
      <c r="N224" s="15">
        <v>117.94556265085691</v>
      </c>
      <c r="O224" s="15">
        <f t="shared" si="101"/>
        <v>165.19542079636108</v>
      </c>
      <c r="P224" s="27">
        <v>3.7597001525230871</v>
      </c>
      <c r="Q224" s="19">
        <f t="shared" si="102"/>
        <v>52.658636306881178</v>
      </c>
      <c r="R224" s="27">
        <v>1.1063967751294099</v>
      </c>
      <c r="S224" s="19">
        <f t="shared" si="103"/>
        <v>15.496274444531794</v>
      </c>
      <c r="T224" s="27">
        <v>13.653222423015881</v>
      </c>
      <c r="U224" s="15">
        <f t="shared" si="104"/>
        <v>19.12280354347044</v>
      </c>
      <c r="V224" s="27">
        <v>6.6870068856001792</v>
      </c>
      <c r="W224" s="15">
        <f t="shared" si="105"/>
        <v>9.3658709281409323</v>
      </c>
      <c r="X224" s="27">
        <v>20.26093117654942</v>
      </c>
      <c r="Y224" s="15">
        <f t="shared" si="106"/>
        <v>28.377608925772297</v>
      </c>
      <c r="Z224" s="27">
        <v>6.1172619043158578</v>
      </c>
      <c r="AA224" s="15">
        <f t="shared" si="107"/>
        <v>8.5678819252948433</v>
      </c>
      <c r="AB224" s="24">
        <v>3059.5338172649099</v>
      </c>
      <c r="AC224" s="15">
        <f t="shared" si="108"/>
        <v>4285.2055221434957</v>
      </c>
      <c r="AD224" s="24">
        <v>190.11269373217243</v>
      </c>
      <c r="AE224" s="15">
        <f t="shared" si="109"/>
        <v>266.27323431220049</v>
      </c>
      <c r="AF224" s="24">
        <v>589.05383861056544</v>
      </c>
      <c r="AG224" s="15">
        <f t="shared" si="110"/>
        <v>825.03313014868343</v>
      </c>
      <c r="AH224" s="24">
        <v>21.178357073791233</v>
      </c>
      <c r="AI224" s="15">
        <f t="shared" si="111"/>
        <v>29.662562371566381</v>
      </c>
    </row>
    <row r="225" spans="1:35" x14ac:dyDescent="0.45">
      <c r="A225" s="11" t="s">
        <v>2</v>
      </c>
      <c r="B225" s="11" t="s">
        <v>7</v>
      </c>
      <c r="C225" s="10" t="s">
        <v>5</v>
      </c>
      <c r="D225" t="s">
        <v>64</v>
      </c>
      <c r="E225" t="s">
        <v>57</v>
      </c>
      <c r="F225" t="s">
        <v>46</v>
      </c>
      <c r="G225" s="12">
        <v>1.4006073402301149</v>
      </c>
      <c r="H225" s="25">
        <v>0.14584138542932004</v>
      </c>
      <c r="I225" s="19">
        <f t="shared" si="98"/>
        <v>2042.6651494163495</v>
      </c>
      <c r="J225" s="15">
        <v>189.38068627864283</v>
      </c>
      <c r="K225" s="15">
        <f t="shared" si="99"/>
        <v>265.24797929968378</v>
      </c>
      <c r="L225" s="26">
        <v>33474.315898981731</v>
      </c>
      <c r="M225" s="15">
        <f t="shared" si="100"/>
        <v>46884.372557295457</v>
      </c>
      <c r="N225" s="15">
        <v>130.0072819318251</v>
      </c>
      <c r="O225" s="15">
        <f t="shared" si="101"/>
        <v>182.08915335708025</v>
      </c>
      <c r="P225" s="27">
        <v>3.9123347271590445</v>
      </c>
      <c r="Q225" s="19">
        <f t="shared" si="102"/>
        <v>54.796447362961416</v>
      </c>
      <c r="R225" s="27">
        <v>1.4348668260556916</v>
      </c>
      <c r="S225" s="19">
        <f t="shared" si="103"/>
        <v>20.096850088262894</v>
      </c>
      <c r="T225" s="27">
        <v>18.388114333405113</v>
      </c>
      <c r="U225" s="15">
        <f t="shared" si="104"/>
        <v>25.754527908357787</v>
      </c>
      <c r="V225" s="27">
        <v>5.9822887108319032</v>
      </c>
      <c r="W225" s="15">
        <f t="shared" si="105"/>
        <v>8.378837479766915</v>
      </c>
      <c r="X225" s="27">
        <v>27.212743844127285</v>
      </c>
      <c r="Y225" s="15">
        <f t="shared" si="106"/>
        <v>38.114368775886554</v>
      </c>
      <c r="Z225" s="27">
        <v>15.196860344325982</v>
      </c>
      <c r="AA225" s="15">
        <f t="shared" si="107"/>
        <v>21.284834146714921</v>
      </c>
      <c r="AB225" s="24">
        <v>3412.5905892649121</v>
      </c>
      <c r="AC225" s="15">
        <f t="shared" si="108"/>
        <v>4779.6994285246492</v>
      </c>
      <c r="AD225" s="24">
        <v>246.93716007729498</v>
      </c>
      <c r="AE225" s="15">
        <f t="shared" si="109"/>
        <v>345.86199897983823</v>
      </c>
      <c r="AF225" s="24">
        <v>617.34290019323737</v>
      </c>
      <c r="AG225" s="15">
        <f t="shared" si="110"/>
        <v>864.65499744959561</v>
      </c>
      <c r="AH225" s="24">
        <v>8.8452081109654017</v>
      </c>
      <c r="AI225" s="15">
        <f t="shared" si="111"/>
        <v>12.388663406081092</v>
      </c>
    </row>
    <row r="226" spans="1:35" x14ac:dyDescent="0.45">
      <c r="A226" s="11" t="s">
        <v>2</v>
      </c>
      <c r="B226" s="11" t="s">
        <v>7</v>
      </c>
      <c r="C226" s="18" t="s">
        <v>5</v>
      </c>
      <c r="D226" t="s">
        <v>64</v>
      </c>
      <c r="E226" t="s">
        <v>51</v>
      </c>
      <c r="F226" t="s">
        <v>47</v>
      </c>
      <c r="G226" s="12">
        <v>1.4006073402301149</v>
      </c>
      <c r="H226" s="25">
        <v>0.12565154159247224</v>
      </c>
      <c r="I226" s="19">
        <f t="shared" si="98"/>
        <v>1759.8847146564619</v>
      </c>
      <c r="J226" s="15">
        <v>107.80917964558796</v>
      </c>
      <c r="K226" s="15">
        <f t="shared" si="99"/>
        <v>150.99832835579761</v>
      </c>
      <c r="L226" s="26">
        <v>28166.362249748203</v>
      </c>
      <c r="M226" s="15">
        <f t="shared" si="100"/>
        <v>39450.013714577748</v>
      </c>
      <c r="N226" s="15">
        <v>103.92416416286406</v>
      </c>
      <c r="O226" s="15">
        <f t="shared" si="101"/>
        <v>145.55694715378687</v>
      </c>
      <c r="P226" s="27">
        <v>4.1474366235354418</v>
      </c>
      <c r="Q226" s="19">
        <f t="shared" si="102"/>
        <v>58.089301780629441</v>
      </c>
      <c r="R226" s="27">
        <v>1.0805976314422365</v>
      </c>
      <c r="S226" s="19">
        <f t="shared" si="103"/>
        <v>15.134929744332728</v>
      </c>
      <c r="T226" s="27">
        <v>13.257157226642713</v>
      </c>
      <c r="U226" s="15">
        <f t="shared" si="104"/>
        <v>18.568071722220498</v>
      </c>
      <c r="V226" s="27">
        <v>247.56713286734811</v>
      </c>
      <c r="W226" s="15">
        <f t="shared" si="105"/>
        <v>346.74434349373189</v>
      </c>
      <c r="X226" s="27">
        <v>51.911047683044188</v>
      </c>
      <c r="Y226" s="15">
        <f t="shared" si="106"/>
        <v>72.70699442390719</v>
      </c>
      <c r="Z226" s="27">
        <v>5.0503082946357845</v>
      </c>
      <c r="AA226" s="15">
        <f t="shared" si="107"/>
        <v>7.0734988678919146</v>
      </c>
      <c r="AB226" s="24">
        <v>2759.2618765128805</v>
      </c>
      <c r="AC226" s="15">
        <f t="shared" si="108"/>
        <v>3864.6424378610614</v>
      </c>
      <c r="AD226" s="24">
        <v>293.20798265548552</v>
      </c>
      <c r="AE226" s="15">
        <f t="shared" si="109"/>
        <v>410.66925272133727</v>
      </c>
      <c r="AF226" s="24">
        <v>475.73480629532423</v>
      </c>
      <c r="AG226" s="15">
        <f t="shared" si="110"/>
        <v>666.31766170018307</v>
      </c>
      <c r="AH226" s="24">
        <v>11.26229337352196</v>
      </c>
      <c r="AI226" s="15">
        <f t="shared" si="111"/>
        <v>15.774050766779842</v>
      </c>
    </row>
    <row r="227" spans="1:35" x14ac:dyDescent="0.45">
      <c r="A227" s="11" t="s">
        <v>2</v>
      </c>
      <c r="B227" s="11" t="s">
        <v>7</v>
      </c>
      <c r="C227" s="18" t="s">
        <v>5</v>
      </c>
      <c r="D227" t="s">
        <v>64</v>
      </c>
      <c r="E227" t="s">
        <v>52</v>
      </c>
      <c r="F227" t="s">
        <v>47</v>
      </c>
      <c r="G227" s="12">
        <v>1.4006073402301149</v>
      </c>
      <c r="H227" s="25">
        <v>0.10818457390201186</v>
      </c>
      <c r="I227" s="19">
        <f t="shared" si="98"/>
        <v>1515.2410830682513</v>
      </c>
      <c r="J227" s="15">
        <v>70.450654384365293</v>
      </c>
      <c r="K227" s="15">
        <f t="shared" si="99"/>
        <v>98.673703654756963</v>
      </c>
      <c r="L227" s="26">
        <v>28830.252910268537</v>
      </c>
      <c r="M227" s="15">
        <f t="shared" si="100"/>
        <v>40379.863846812746</v>
      </c>
      <c r="N227" s="15">
        <v>98.966395444703608</v>
      </c>
      <c r="O227" s="15">
        <f t="shared" si="101"/>
        <v>138.61305989596809</v>
      </c>
      <c r="P227" s="27">
        <v>3.8875551722472568</v>
      </c>
      <c r="Q227" s="19">
        <f t="shared" si="102"/>
        <v>54.44938309799057</v>
      </c>
      <c r="R227" s="27">
        <v>0.98731559930089063</v>
      </c>
      <c r="S227" s="19">
        <f t="shared" si="103"/>
        <v>13.828414755045223</v>
      </c>
      <c r="T227" s="27">
        <v>11.626486133145761</v>
      </c>
      <c r="U227" s="15">
        <f t="shared" si="104"/>
        <v>16.284141819167598</v>
      </c>
      <c r="V227" s="27">
        <v>190.63263458199586</v>
      </c>
      <c r="W227" s="15">
        <f t="shared" si="105"/>
        <v>267.00146728294868</v>
      </c>
      <c r="X227" s="27">
        <v>25.203394876715297</v>
      </c>
      <c r="Y227" s="15">
        <f t="shared" si="106"/>
        <v>35.300059863045519</v>
      </c>
      <c r="Z227" s="27">
        <v>0.72140152002192348</v>
      </c>
      <c r="AA227" s="15">
        <f t="shared" si="107"/>
        <v>1.0104002641958683</v>
      </c>
      <c r="AB227" s="24">
        <v>2873.7371109459013</v>
      </c>
      <c r="AC227" s="15">
        <f t="shared" si="108"/>
        <v>4024.9772914825139</v>
      </c>
      <c r="AD227" s="24">
        <v>201.7351585109993</v>
      </c>
      <c r="AE227" s="15">
        <f t="shared" si="109"/>
        <v>282.55174379299137</v>
      </c>
      <c r="AF227" s="24">
        <v>491.48222441160118</v>
      </c>
      <c r="AG227" s="15">
        <f t="shared" si="110"/>
        <v>688.37361110351321</v>
      </c>
      <c r="AH227" s="24">
        <v>11.471214895723488</v>
      </c>
      <c r="AI227" s="15">
        <f t="shared" si="111"/>
        <v>16.066667784307352</v>
      </c>
    </row>
    <row r="228" spans="1:35" x14ac:dyDescent="0.45">
      <c r="A228" s="11" t="s">
        <v>2</v>
      </c>
      <c r="B228" s="11" t="s">
        <v>7</v>
      </c>
      <c r="C228" s="18" t="s">
        <v>5</v>
      </c>
      <c r="D228" t="s">
        <v>64</v>
      </c>
      <c r="E228" t="s">
        <v>53</v>
      </c>
      <c r="F228" t="s">
        <v>47</v>
      </c>
      <c r="G228" s="12">
        <v>1.4006073402301149</v>
      </c>
      <c r="H228" s="25">
        <v>0.18695876631738562</v>
      </c>
      <c r="I228" s="19">
        <f t="shared" si="98"/>
        <v>2618.5582042449705</v>
      </c>
      <c r="J228" s="15">
        <v>95.824349110956959</v>
      </c>
      <c r="K228" s="15">
        <f t="shared" si="99"/>
        <v>134.2122867375794</v>
      </c>
      <c r="L228" s="26">
        <v>29159.663612658012</v>
      </c>
      <c r="M228" s="15">
        <f t="shared" si="100"/>
        <v>40841.238894529808</v>
      </c>
      <c r="N228" s="15">
        <v>110.94417468789072</v>
      </c>
      <c r="O228" s="15">
        <f t="shared" si="101"/>
        <v>155.38922542363187</v>
      </c>
      <c r="P228" s="27">
        <v>3.2368110236220473</v>
      </c>
      <c r="Q228" s="19">
        <f t="shared" si="102"/>
        <v>45.335012786227914</v>
      </c>
      <c r="R228" s="27">
        <v>1.0275590551181102</v>
      </c>
      <c r="S228" s="19">
        <f t="shared" si="103"/>
        <v>14.392067551183464</v>
      </c>
      <c r="T228" s="27">
        <v>12.60180806745444</v>
      </c>
      <c r="U228" s="15">
        <f t="shared" si="104"/>
        <v>17.650184879447771</v>
      </c>
      <c r="V228" s="27">
        <v>708.54030802589932</v>
      </c>
      <c r="W228" s="15">
        <f t="shared" si="105"/>
        <v>992.38675626998122</v>
      </c>
      <c r="X228" s="27">
        <v>249.69330829082591</v>
      </c>
      <c r="Y228" s="15">
        <f t="shared" si="106"/>
        <v>349.72228039847175</v>
      </c>
      <c r="Z228" s="27">
        <v>16.303650978909474</v>
      </c>
      <c r="AA228" s="15">
        <f t="shared" si="107"/>
        <v>22.835013233610507</v>
      </c>
      <c r="AB228" s="24">
        <v>2534.3846757474944</v>
      </c>
      <c r="AC228" s="15">
        <f t="shared" si="108"/>
        <v>3549.6777798186608</v>
      </c>
      <c r="AD228" s="24">
        <v>264.77108197849839</v>
      </c>
      <c r="AE228" s="15">
        <f t="shared" si="109"/>
        <v>370.84032089975432</v>
      </c>
      <c r="AF228" s="24">
        <v>572.81214622585651</v>
      </c>
      <c r="AG228" s="15">
        <f t="shared" si="110"/>
        <v>802.28489657690056</v>
      </c>
      <c r="AH228" s="24">
        <v>13.084018447964707</v>
      </c>
      <c r="AI228" s="15">
        <f t="shared" si="111"/>
        <v>18.325572277925605</v>
      </c>
    </row>
    <row r="229" spans="1:35" x14ac:dyDescent="0.45">
      <c r="A229" s="11" t="s">
        <v>2</v>
      </c>
      <c r="B229" s="11" t="s">
        <v>7</v>
      </c>
      <c r="C229" s="10" t="s">
        <v>5</v>
      </c>
      <c r="D229" t="s">
        <v>64</v>
      </c>
      <c r="E229" t="s">
        <v>54</v>
      </c>
      <c r="F229" t="s">
        <v>47</v>
      </c>
      <c r="G229" s="12">
        <v>1.4006073402301149</v>
      </c>
      <c r="H229" s="25">
        <v>0.19783635622202017</v>
      </c>
      <c r="I229" s="19">
        <f t="shared" si="98"/>
        <v>2770.9105268894118</v>
      </c>
      <c r="J229" s="15">
        <v>233.11867297068952</v>
      </c>
      <c r="K229" s="15">
        <f t="shared" si="99"/>
        <v>326.50772450745143</v>
      </c>
      <c r="L229" s="26">
        <v>28417.358895187361</v>
      </c>
      <c r="M229" s="15">
        <f t="shared" si="100"/>
        <v>39801.561458552969</v>
      </c>
      <c r="N229" s="15">
        <v>133.89874191291671</v>
      </c>
      <c r="O229" s="15">
        <f t="shared" si="101"/>
        <v>187.53956077080886</v>
      </c>
      <c r="P229" s="27">
        <v>4.1904757609006111</v>
      </c>
      <c r="Q229" s="19">
        <f t="shared" si="102"/>
        <v>58.692111097737715</v>
      </c>
      <c r="R229" s="27">
        <v>1.8954474713120124</v>
      </c>
      <c r="S229" s="19">
        <f t="shared" si="103"/>
        <v>26.547776413402147</v>
      </c>
      <c r="T229" s="27">
        <v>28.528412999892126</v>
      </c>
      <c r="U229" s="15">
        <f t="shared" si="104"/>
        <v>39.957104652765146</v>
      </c>
      <c r="V229" s="27">
        <v>14.359171135449253</v>
      </c>
      <c r="W229" s="15">
        <f t="shared" si="105"/>
        <v>20.111560491930618</v>
      </c>
      <c r="X229" s="27">
        <v>41.356379879838435</v>
      </c>
      <c r="Y229" s="15">
        <f t="shared" si="106"/>
        <v>57.924049225046751</v>
      </c>
      <c r="Z229" s="27">
        <v>17.860448480805378</v>
      </c>
      <c r="AA229" s="15">
        <f t="shared" si="107"/>
        <v>25.015475242017818</v>
      </c>
      <c r="AB229" s="24">
        <v>3398.8013388910831</v>
      </c>
      <c r="AC229" s="15">
        <f t="shared" si="108"/>
        <v>4760.3861032347941</v>
      </c>
      <c r="AD229" s="24">
        <v>348.74657216447628</v>
      </c>
      <c r="AE229" s="15">
        <f t="shared" si="109"/>
        <v>488.45700885365693</v>
      </c>
      <c r="AF229" s="24">
        <v>629.51711755113092</v>
      </c>
      <c r="AG229" s="15">
        <f t="shared" si="110"/>
        <v>881.70629564261822</v>
      </c>
      <c r="AH229" s="24">
        <v>8.7876254906981028</v>
      </c>
      <c r="AI229" s="15">
        <f t="shared" si="111"/>
        <v>12.308012765465028</v>
      </c>
    </row>
    <row r="230" spans="1:35" x14ac:dyDescent="0.45">
      <c r="A230" s="11" t="s">
        <v>2</v>
      </c>
      <c r="B230" s="11" t="s">
        <v>7</v>
      </c>
      <c r="C230" s="10" t="s">
        <v>5</v>
      </c>
      <c r="D230" t="s">
        <v>64</v>
      </c>
      <c r="E230" t="s">
        <v>55</v>
      </c>
      <c r="F230" t="s">
        <v>47</v>
      </c>
      <c r="G230" s="12">
        <v>1.4006073402301149</v>
      </c>
      <c r="H230" s="25">
        <v>0.12604073431915086</v>
      </c>
      <c r="I230" s="19">
        <f t="shared" si="98"/>
        <v>1765.3357765539643</v>
      </c>
      <c r="J230" s="15">
        <v>71.903150416554368</v>
      </c>
      <c r="K230" s="15">
        <f t="shared" si="99"/>
        <v>100.70808025909611</v>
      </c>
      <c r="L230" s="26">
        <v>29919.431716955511</v>
      </c>
      <c r="M230" s="15">
        <f t="shared" si="100"/>
        <v>41905.375678281598</v>
      </c>
      <c r="N230" s="15">
        <v>109.06115432309589</v>
      </c>
      <c r="O230" s="15">
        <f t="shared" si="101"/>
        <v>152.75185327889744</v>
      </c>
      <c r="P230" s="27">
        <v>3.8736418003913893</v>
      </c>
      <c r="Q230" s="19">
        <f t="shared" si="102"/>
        <v>54.254511390503779</v>
      </c>
      <c r="R230" s="27">
        <v>1.1302403131115459</v>
      </c>
      <c r="S230" s="19">
        <f t="shared" si="103"/>
        <v>15.830228787680147</v>
      </c>
      <c r="T230" s="27">
        <v>18.373912187312293</v>
      </c>
      <c r="U230" s="15">
        <f t="shared" si="104"/>
        <v>25.734636278293166</v>
      </c>
      <c r="V230" s="27">
        <v>987.51628442202775</v>
      </c>
      <c r="W230" s="15">
        <f t="shared" si="105"/>
        <v>1383.1225565582622</v>
      </c>
      <c r="X230" s="27">
        <v>148.21575696270668</v>
      </c>
      <c r="Y230" s="15">
        <f t="shared" si="106"/>
        <v>207.59207713972972</v>
      </c>
      <c r="Z230" s="27">
        <v>1.2181282676203544</v>
      </c>
      <c r="AA230" s="15">
        <f t="shared" si="107"/>
        <v>1.7061193929708622</v>
      </c>
      <c r="AB230" s="24">
        <v>3398.4755898534131</v>
      </c>
      <c r="AC230" s="15">
        <f t="shared" si="108"/>
        <v>4759.9298567415599</v>
      </c>
      <c r="AD230" s="24">
        <v>622.31070413174314</v>
      </c>
      <c r="AE230" s="15">
        <f t="shared" si="109"/>
        <v>871.61294011069083</v>
      </c>
      <c r="AF230" s="24">
        <v>471.09501901561862</v>
      </c>
      <c r="AG230" s="15">
        <f t="shared" si="110"/>
        <v>659.81914157912104</v>
      </c>
      <c r="AH230" s="24">
        <v>21.906887715541114</v>
      </c>
      <c r="AI230" s="15">
        <f t="shared" si="111"/>
        <v>30.68294773598382</v>
      </c>
    </row>
    <row r="231" spans="1:35" x14ac:dyDescent="0.45">
      <c r="A231" s="11" t="s">
        <v>2</v>
      </c>
      <c r="B231" s="11" t="s">
        <v>7</v>
      </c>
      <c r="C231" s="18" t="s">
        <v>5</v>
      </c>
      <c r="D231" t="s">
        <v>64</v>
      </c>
      <c r="E231" t="s">
        <v>56</v>
      </c>
      <c r="F231" t="s">
        <v>47</v>
      </c>
      <c r="G231" s="12">
        <v>1.4006073402301149</v>
      </c>
      <c r="H231" s="25">
        <v>0.15148348222495506</v>
      </c>
      <c r="I231" s="19">
        <f t="shared" si="98"/>
        <v>2121.6887712789021</v>
      </c>
      <c r="J231" s="15">
        <v>135.53413656495957</v>
      </c>
      <c r="K231" s="15">
        <f t="shared" si="99"/>
        <v>189.83010652463321</v>
      </c>
      <c r="L231" s="26">
        <v>32625.002873136698</v>
      </c>
      <c r="M231" s="15">
        <f t="shared" si="100"/>
        <v>45694.818499143854</v>
      </c>
      <c r="N231" s="15">
        <v>126.82122778578359</v>
      </c>
      <c r="O231" s="15">
        <f t="shared" si="101"/>
        <v>177.62674253376392</v>
      </c>
      <c r="P231" s="27">
        <v>3.662105263157895</v>
      </c>
      <c r="Q231" s="19">
        <f t="shared" si="102"/>
        <v>51.291715122742843</v>
      </c>
      <c r="R231" s="27">
        <v>1.7438596491228069</v>
      </c>
      <c r="S231" s="19">
        <f t="shared" si="103"/>
        <v>24.424626248925161</v>
      </c>
      <c r="T231" s="27">
        <v>27.00465320838676</v>
      </c>
      <c r="U231" s="15">
        <f t="shared" si="104"/>
        <v>37.822915504035223</v>
      </c>
      <c r="V231" s="27">
        <v>6.6285576355627027</v>
      </c>
      <c r="W231" s="15">
        <f t="shared" si="105"/>
        <v>9.2840064795074966</v>
      </c>
      <c r="X231" s="27">
        <v>47.660549379628748</v>
      </c>
      <c r="Y231" s="15">
        <f t="shared" si="106"/>
        <v>66.753715300507878</v>
      </c>
      <c r="Z231" s="27">
        <v>13.084284780627604</v>
      </c>
      <c r="AA231" s="15">
        <f t="shared" si="107"/>
        <v>18.325945305408201</v>
      </c>
      <c r="AB231" s="24">
        <v>3405.4046101236081</v>
      </c>
      <c r="AC231" s="15">
        <f t="shared" si="108"/>
        <v>4769.6346933925979</v>
      </c>
      <c r="AD231" s="24">
        <v>414.70724853345774</v>
      </c>
      <c r="AE231" s="15">
        <f t="shared" si="109"/>
        <v>580.84201634259546</v>
      </c>
      <c r="AF231" s="24">
        <v>570.35304206364719</v>
      </c>
      <c r="AG231" s="15">
        <f t="shared" si="110"/>
        <v>798.84065723691981</v>
      </c>
      <c r="AH231" s="24">
        <v>12.953072750163416</v>
      </c>
      <c r="AI231" s="15">
        <f t="shared" si="111"/>
        <v>18.142168772413562</v>
      </c>
    </row>
    <row r="232" spans="1:35" x14ac:dyDescent="0.45">
      <c r="A232" s="11" t="s">
        <v>2</v>
      </c>
      <c r="B232" s="11" t="s">
        <v>7</v>
      </c>
      <c r="C232" s="18" t="s">
        <v>5</v>
      </c>
      <c r="D232" t="s">
        <v>64</v>
      </c>
      <c r="E232" t="s">
        <v>57</v>
      </c>
      <c r="F232" t="s">
        <v>47</v>
      </c>
      <c r="G232" s="12">
        <v>1.4006073402301149</v>
      </c>
      <c r="H232" s="25">
        <v>0.14507277731174392</v>
      </c>
      <c r="I232" s="19">
        <f t="shared" si="98"/>
        <v>2031.899967703974</v>
      </c>
      <c r="J232" s="15">
        <v>138.1138178379741</v>
      </c>
      <c r="K232" s="15">
        <f t="shared" si="99"/>
        <v>193.44322705107152</v>
      </c>
      <c r="L232" s="26">
        <v>34808.414901056982</v>
      </c>
      <c r="M232" s="15">
        <f t="shared" si="100"/>
        <v>48752.921412195719</v>
      </c>
      <c r="N232" s="15">
        <v>132.51460900670489</v>
      </c>
      <c r="O232" s="15">
        <f t="shared" si="101"/>
        <v>185.60093406251457</v>
      </c>
      <c r="P232" s="27">
        <v>3.6852126124470255</v>
      </c>
      <c r="Q232" s="19">
        <f t="shared" si="102"/>
        <v>51.615358353019019</v>
      </c>
      <c r="R232" s="27">
        <v>1.4063346181204526</v>
      </c>
      <c r="S232" s="19">
        <f t="shared" si="103"/>
        <v>19.697225889592215</v>
      </c>
      <c r="T232" s="27">
        <v>22.544539421304854</v>
      </c>
      <c r="U232" s="15">
        <f t="shared" si="104"/>
        <v>31.576047395586766</v>
      </c>
      <c r="V232" s="27">
        <v>190.17590294038735</v>
      </c>
      <c r="W232" s="15">
        <f t="shared" si="105"/>
        <v>266.36176559319642</v>
      </c>
      <c r="X232" s="27">
        <v>47.875127804893545</v>
      </c>
      <c r="Y232" s="15">
        <f t="shared" si="106"/>
        <v>67.05425541798877</v>
      </c>
      <c r="Z232" s="27">
        <v>11.682447454782633</v>
      </c>
      <c r="AA232" s="15">
        <f t="shared" si="107"/>
        <v>16.36252165702118</v>
      </c>
      <c r="AB232" s="24">
        <v>3150.0124192908374</v>
      </c>
      <c r="AC232" s="15">
        <f t="shared" si="108"/>
        <v>4411.9305162747696</v>
      </c>
      <c r="AD232" s="24">
        <v>335.12911681273124</v>
      </c>
      <c r="AE232" s="15">
        <f t="shared" si="109"/>
        <v>469.38430093274701</v>
      </c>
      <c r="AF232" s="24">
        <v>589.74673409087245</v>
      </c>
      <c r="AG232" s="15">
        <f t="shared" si="110"/>
        <v>826.00360464441371</v>
      </c>
      <c r="AH232" s="24">
        <v>20.530432381320473</v>
      </c>
      <c r="AI232" s="15">
        <f t="shared" si="111"/>
        <v>28.755074291375497</v>
      </c>
    </row>
    <row r="233" spans="1:35" x14ac:dyDescent="0.45">
      <c r="A233" s="11" t="s">
        <v>2</v>
      </c>
      <c r="B233" s="11" t="s">
        <v>7</v>
      </c>
      <c r="C233" s="18" t="s">
        <v>5</v>
      </c>
      <c r="D233" t="s">
        <v>64</v>
      </c>
      <c r="E233" t="s">
        <v>51</v>
      </c>
      <c r="F233" t="s">
        <v>48</v>
      </c>
      <c r="G233" s="12">
        <v>1.4006073402301149</v>
      </c>
      <c r="H233" s="25">
        <v>0.12805355895903911</v>
      </c>
      <c r="I233" s="19">
        <f t="shared" si="98"/>
        <v>1793.5275462061998</v>
      </c>
      <c r="J233" s="15">
        <v>131.0844621051323</v>
      </c>
      <c r="K233" s="15">
        <f t="shared" si="99"/>
        <v>183.59785981456466</v>
      </c>
      <c r="L233" s="26">
        <v>26620.229227503791</v>
      </c>
      <c r="M233" s="15">
        <f t="shared" si="100"/>
        <v>37284.488454650054</v>
      </c>
      <c r="N233" s="15">
        <v>103.85922766791253</v>
      </c>
      <c r="O233" s="15">
        <f t="shared" si="101"/>
        <v>145.46599662230895</v>
      </c>
      <c r="P233" s="27">
        <v>3.8448081077451497</v>
      </c>
      <c r="Q233" s="19">
        <f t="shared" si="102"/>
        <v>53.850664574841147</v>
      </c>
      <c r="R233" s="27">
        <v>1.2610970593404092</v>
      </c>
      <c r="S233" s="19">
        <f t="shared" si="103"/>
        <v>17.663017980547899</v>
      </c>
      <c r="T233" s="27">
        <v>15.384501095739415</v>
      </c>
      <c r="U233" s="15">
        <f t="shared" si="104"/>
        <v>21.547645160470871</v>
      </c>
      <c r="V233" s="27">
        <v>109.90793413211244</v>
      </c>
      <c r="W233" s="15">
        <f t="shared" si="105"/>
        <v>153.93785929496468</v>
      </c>
      <c r="X233" s="27">
        <v>23.32589219989211</v>
      </c>
      <c r="Y233" s="15">
        <f t="shared" si="106"/>
        <v>32.670415832585277</v>
      </c>
      <c r="Z233" s="27">
        <v>1.2565465657060306</v>
      </c>
      <c r="AA233" s="15">
        <f t="shared" si="107"/>
        <v>1.7599283432688089</v>
      </c>
      <c r="AB233" s="24">
        <v>2964.8499174129711</v>
      </c>
      <c r="AC233" s="15">
        <f t="shared" si="108"/>
        <v>4152.5905570092573</v>
      </c>
      <c r="AD233" s="24">
        <v>191.78872903265159</v>
      </c>
      <c r="AE233" s="15">
        <f t="shared" si="109"/>
        <v>268.62070165653643</v>
      </c>
      <c r="AF233" s="24">
        <v>431.75626922326398</v>
      </c>
      <c r="AG233" s="15">
        <f t="shared" si="110"/>
        <v>604.72099986447324</v>
      </c>
      <c r="AH233" s="24">
        <v>13.434476188277527</v>
      </c>
      <c r="AI233" s="15">
        <f t="shared" si="111"/>
        <v>18.8164259614482</v>
      </c>
    </row>
    <row r="234" spans="1:35" x14ac:dyDescent="0.45">
      <c r="A234" s="11" t="s">
        <v>2</v>
      </c>
      <c r="B234" s="11" t="s">
        <v>7</v>
      </c>
      <c r="C234" s="18" t="s">
        <v>5</v>
      </c>
      <c r="D234" t="s">
        <v>64</v>
      </c>
      <c r="E234" t="s">
        <v>52</v>
      </c>
      <c r="F234" t="s">
        <v>48</v>
      </c>
      <c r="G234" s="12">
        <v>1.4006073402301149</v>
      </c>
      <c r="H234" s="25">
        <v>9.6039875028031435E-2</v>
      </c>
      <c r="I234" s="19">
        <f t="shared" si="98"/>
        <v>1345.1415391904372</v>
      </c>
      <c r="J234" s="15">
        <v>68.396132999601051</v>
      </c>
      <c r="K234" s="15">
        <f t="shared" si="99"/>
        <v>95.796125922596431</v>
      </c>
      <c r="L234" s="26">
        <v>27458.301569182895</v>
      </c>
      <c r="M234" s="15">
        <f t="shared" si="100"/>
        <v>38458.298728049645</v>
      </c>
      <c r="N234" s="15">
        <v>96.253828046153856</v>
      </c>
      <c r="O234" s="15">
        <f t="shared" si="101"/>
        <v>134.81381808669039</v>
      </c>
      <c r="P234" s="27">
        <v>4.1137528169103108</v>
      </c>
      <c r="Q234" s="19">
        <f t="shared" si="102"/>
        <v>57.617523912568934</v>
      </c>
      <c r="R234" s="27">
        <v>0.87417247359344097</v>
      </c>
      <c r="S234" s="19">
        <f t="shared" si="103"/>
        <v>12.243723831420898</v>
      </c>
      <c r="T234" s="27">
        <v>10.91900264678943</v>
      </c>
      <c r="U234" s="15">
        <f t="shared" si="104"/>
        <v>15.293235255085328</v>
      </c>
      <c r="V234" s="27">
        <v>466.84861513118534</v>
      </c>
      <c r="W234" s="15">
        <f t="shared" si="105"/>
        <v>653.87159712900211</v>
      </c>
      <c r="X234" s="27">
        <v>91.70491983346983</v>
      </c>
      <c r="Y234" s="15">
        <f t="shared" si="106"/>
        <v>128.44258385397208</v>
      </c>
      <c r="Z234" s="27">
        <v>2.5434493222832573</v>
      </c>
      <c r="AA234" s="15">
        <f t="shared" si="107"/>
        <v>3.5623737902932415</v>
      </c>
      <c r="AB234" s="24">
        <v>2722.3945925370394</v>
      </c>
      <c r="AC234" s="15">
        <f t="shared" si="108"/>
        <v>3813.0058493101506</v>
      </c>
      <c r="AD234" s="24">
        <v>508.28580478170664</v>
      </c>
      <c r="AE234" s="15">
        <f t="shared" si="109"/>
        <v>711.90882911202959</v>
      </c>
      <c r="AF234" s="24">
        <v>416.31969613443289</v>
      </c>
      <c r="AG234" s="15">
        <f t="shared" si="110"/>
        <v>583.10042228825773</v>
      </c>
      <c r="AH234" s="24">
        <v>10.581046908879884</v>
      </c>
      <c r="AI234" s="15">
        <f t="shared" si="111"/>
        <v>14.819891967896336</v>
      </c>
    </row>
    <row r="235" spans="1:35" x14ac:dyDescent="0.45">
      <c r="A235" s="11" t="s">
        <v>2</v>
      </c>
      <c r="B235" s="11" t="s">
        <v>7</v>
      </c>
      <c r="C235" s="18" t="s">
        <v>5</v>
      </c>
      <c r="D235" t="s">
        <v>64</v>
      </c>
      <c r="E235" t="s">
        <v>53</v>
      </c>
      <c r="F235" t="s">
        <v>48</v>
      </c>
      <c r="G235" s="12">
        <v>1.4006073402301149</v>
      </c>
      <c r="H235" s="25">
        <v>9.3636227844739378E-2</v>
      </c>
      <c r="I235" s="19">
        <f t="shared" si="98"/>
        <v>1311.4758803080144</v>
      </c>
      <c r="J235" s="15">
        <v>74.871073715223318</v>
      </c>
      <c r="K235" s="15">
        <f t="shared" si="99"/>
        <v>104.86497541645181</v>
      </c>
      <c r="L235" s="26">
        <v>30212.791410935013</v>
      </c>
      <c r="M235" s="15">
        <f t="shared" si="100"/>
        <v>42316.257418996945</v>
      </c>
      <c r="N235" s="15">
        <v>98.191572085538795</v>
      </c>
      <c r="O235" s="15">
        <f t="shared" si="101"/>
        <v>137.52783661174007</v>
      </c>
      <c r="P235" s="27">
        <v>3.1470172257479603</v>
      </c>
      <c r="Q235" s="19">
        <f t="shared" si="102"/>
        <v>44.077354262132054</v>
      </c>
      <c r="R235" s="27">
        <v>0.84805983680870356</v>
      </c>
      <c r="S235" s="19">
        <f t="shared" si="103"/>
        <v>11.877988323886235</v>
      </c>
      <c r="T235" s="27">
        <v>10.648453585206351</v>
      </c>
      <c r="U235" s="15">
        <f t="shared" si="104"/>
        <v>14.914302253539701</v>
      </c>
      <c r="V235" s="27">
        <v>185.97877105610686</v>
      </c>
      <c r="W235" s="15">
        <f t="shared" si="105"/>
        <v>260.48323186815935</v>
      </c>
      <c r="X235" s="27">
        <v>39.32138584267895</v>
      </c>
      <c r="Y235" s="15">
        <f t="shared" si="106"/>
        <v>55.073821639276659</v>
      </c>
      <c r="Z235" s="27">
        <v>1.7915771432829519</v>
      </c>
      <c r="AA235" s="15">
        <f t="shared" si="107"/>
        <v>2.5092960974706031</v>
      </c>
      <c r="AB235" s="24">
        <v>2455.0698455290017</v>
      </c>
      <c r="AC235" s="15">
        <f t="shared" si="108"/>
        <v>3438.588846425534</v>
      </c>
      <c r="AD235" s="24">
        <v>278.30371913057763</v>
      </c>
      <c r="AE235" s="15">
        <f t="shared" si="109"/>
        <v>389.7942318276273</v>
      </c>
      <c r="AF235" s="24">
        <v>467.58773012174498</v>
      </c>
      <c r="AG235" s="15">
        <f t="shared" si="110"/>
        <v>654.90680701005408</v>
      </c>
      <c r="AH235" s="24">
        <v>11.244594712346572</v>
      </c>
      <c r="AI235" s="15">
        <f t="shared" si="111"/>
        <v>15.749261892025348</v>
      </c>
    </row>
    <row r="236" spans="1:35" x14ac:dyDescent="0.45">
      <c r="A236" s="11" t="s">
        <v>2</v>
      </c>
      <c r="B236" s="11" t="s">
        <v>7</v>
      </c>
      <c r="C236" s="18" t="s">
        <v>5</v>
      </c>
      <c r="D236" t="s">
        <v>64</v>
      </c>
      <c r="E236" t="s">
        <v>54</v>
      </c>
      <c r="F236" t="s">
        <v>48</v>
      </c>
      <c r="G236" s="12">
        <v>1.4006073402301149</v>
      </c>
      <c r="H236" s="25">
        <v>9.9790912825356362E-2</v>
      </c>
      <c r="I236" s="19">
        <f t="shared" si="98"/>
        <v>1397.6788499145762</v>
      </c>
      <c r="J236" s="15">
        <v>76.029601496020774</v>
      </c>
      <c r="K236" s="15">
        <f t="shared" si="99"/>
        <v>106.48761793009722</v>
      </c>
      <c r="L236" s="26">
        <v>29379.339837351232</v>
      </c>
      <c r="M236" s="15">
        <f t="shared" si="100"/>
        <v>41148.919027309166</v>
      </c>
      <c r="N236" s="15">
        <v>95.740979661655771</v>
      </c>
      <c r="O236" s="15">
        <f t="shared" si="101"/>
        <v>134.09551887493723</v>
      </c>
      <c r="P236" s="27">
        <v>3.0361980198019802</v>
      </c>
      <c r="Q236" s="19">
        <f t="shared" si="102"/>
        <v>42.52521232926793</v>
      </c>
      <c r="R236" s="27">
        <v>0.93342574257425748</v>
      </c>
      <c r="S236" s="19">
        <f t="shared" si="103"/>
        <v>13.073629466092507</v>
      </c>
      <c r="T236" s="27">
        <v>9.606712535660348</v>
      </c>
      <c r="U236" s="15">
        <f t="shared" si="104"/>
        <v>13.455232092926543</v>
      </c>
      <c r="V236" s="27">
        <v>170.69088830645316</v>
      </c>
      <c r="W236" s="15">
        <f t="shared" si="105"/>
        <v>239.070911072417</v>
      </c>
      <c r="X236" s="27">
        <v>30.854087307705324</v>
      </c>
      <c r="Y236" s="15">
        <f t="shared" si="106"/>
        <v>43.214461159272901</v>
      </c>
      <c r="Z236" s="27">
        <v>1.9673376376756553</v>
      </c>
      <c r="AA236" s="15">
        <f t="shared" si="107"/>
        <v>2.7554675360394971</v>
      </c>
      <c r="AB236" s="24">
        <v>2667.5848134833413</v>
      </c>
      <c r="AC236" s="15">
        <f t="shared" si="108"/>
        <v>3736.23887045115</v>
      </c>
      <c r="AD236" s="24">
        <v>237.1186500874081</v>
      </c>
      <c r="AE236" s="15">
        <f t="shared" si="109"/>
        <v>332.11012181787999</v>
      </c>
      <c r="AF236" s="24">
        <v>518.18601549274103</v>
      </c>
      <c r="AG236" s="15">
        <f t="shared" si="110"/>
        <v>725.77513690372916</v>
      </c>
      <c r="AH236" s="24">
        <v>11.03828198682762</v>
      </c>
      <c r="AI236" s="15">
        <f t="shared" si="111"/>
        <v>15.460298774280622</v>
      </c>
    </row>
    <row r="237" spans="1:35" x14ac:dyDescent="0.45">
      <c r="A237" s="11" t="s">
        <v>2</v>
      </c>
      <c r="B237" s="11" t="s">
        <v>7</v>
      </c>
      <c r="C237" s="10" t="s">
        <v>5</v>
      </c>
      <c r="D237" t="s">
        <v>64</v>
      </c>
      <c r="E237" t="s">
        <v>55</v>
      </c>
      <c r="F237" t="s">
        <v>48</v>
      </c>
      <c r="G237" s="12">
        <v>1.4006073402301149</v>
      </c>
      <c r="H237" s="25">
        <v>0.1155579189241604</v>
      </c>
      <c r="I237" s="19">
        <f t="shared" si="98"/>
        <v>1618.5126946689556</v>
      </c>
      <c r="J237" s="15">
        <v>96.458920819630151</v>
      </c>
      <c r="K237" s="15">
        <f t="shared" si="99"/>
        <v>135.10107253064945</v>
      </c>
      <c r="L237" s="26">
        <v>28617.480658106047</v>
      </c>
      <c r="M237" s="15">
        <f t="shared" si="100"/>
        <v>40081.853468636677</v>
      </c>
      <c r="N237" s="15">
        <v>103.06295481765464</v>
      </c>
      <c r="O237" s="15">
        <f t="shared" si="101"/>
        <v>144.35073102341178</v>
      </c>
      <c r="P237" s="27">
        <v>4.4965366575730892</v>
      </c>
      <c r="Q237" s="19">
        <f t="shared" si="102"/>
        <v>62.978822482106551</v>
      </c>
      <c r="R237" s="27">
        <v>1.0808001943372958</v>
      </c>
      <c r="S237" s="19">
        <f t="shared" si="103"/>
        <v>15.137766855109511</v>
      </c>
      <c r="T237" s="27">
        <v>16.805833650489884</v>
      </c>
      <c r="U237" s="15">
        <f t="shared" si="104"/>
        <v>23.5383739695624</v>
      </c>
      <c r="V237" s="27">
        <v>994.36365565441827</v>
      </c>
      <c r="W237" s="15">
        <f t="shared" si="105"/>
        <v>1392.7130349676288</v>
      </c>
      <c r="X237" s="27">
        <v>172.82985110895282</v>
      </c>
      <c r="Y237" s="15">
        <f t="shared" si="106"/>
        <v>242.0667580740772</v>
      </c>
      <c r="Z237" s="27">
        <v>1.3907578275405079</v>
      </c>
      <c r="AA237" s="15">
        <f t="shared" si="107"/>
        <v>1.9479056217357238</v>
      </c>
      <c r="AB237" s="24">
        <v>2989.0054291333668</v>
      </c>
      <c r="AC237" s="15">
        <f t="shared" si="108"/>
        <v>4186.4229440318586</v>
      </c>
      <c r="AD237" s="24">
        <v>602.33274282599109</v>
      </c>
      <c r="AE237" s="15">
        <f t="shared" si="109"/>
        <v>843.63166086302124</v>
      </c>
      <c r="AF237" s="24">
        <v>341.76246536521757</v>
      </c>
      <c r="AG237" s="15">
        <f t="shared" si="110"/>
        <v>478.67501760566421</v>
      </c>
      <c r="AH237" s="24">
        <v>17.560170872356483</v>
      </c>
      <c r="AI237" s="15">
        <f t="shared" si="111"/>
        <v>24.594904219517552</v>
      </c>
    </row>
    <row r="238" spans="1:35" x14ac:dyDescent="0.45">
      <c r="A238" s="11" t="s">
        <v>2</v>
      </c>
      <c r="B238" s="11" t="s">
        <v>7</v>
      </c>
      <c r="C238" s="18" t="s">
        <v>5</v>
      </c>
      <c r="D238" t="s">
        <v>64</v>
      </c>
      <c r="E238" t="s">
        <v>56</v>
      </c>
      <c r="F238" t="s">
        <v>48</v>
      </c>
      <c r="G238" s="12">
        <v>1.4006073402301149</v>
      </c>
      <c r="H238" s="25">
        <v>0.16202247547950951</v>
      </c>
      <c r="I238" s="19">
        <f t="shared" si="98"/>
        <v>2269.2986843885487</v>
      </c>
      <c r="J238" s="15">
        <v>101.73887098755048</v>
      </c>
      <c r="K238" s="15">
        <f t="shared" si="99"/>
        <v>142.4962094918879</v>
      </c>
      <c r="L238" s="26">
        <v>33234.697855933155</v>
      </c>
      <c r="M238" s="15">
        <f t="shared" si="100"/>
        <v>46548.761767350043</v>
      </c>
      <c r="N238" s="15">
        <v>117.24193704279627</v>
      </c>
      <c r="O238" s="15">
        <f t="shared" si="101"/>
        <v>164.20991760493746</v>
      </c>
      <c r="P238" s="27">
        <v>3.4584239756042301</v>
      </c>
      <c r="Q238" s="19">
        <f t="shared" si="102"/>
        <v>48.438940058591008</v>
      </c>
      <c r="R238" s="27">
        <v>1.2483068787683909</v>
      </c>
      <c r="S238" s="19">
        <f t="shared" si="103"/>
        <v>17.483877772627526</v>
      </c>
      <c r="T238" s="27">
        <v>10.148345959594993</v>
      </c>
      <c r="U238" s="15">
        <f t="shared" si="104"/>
        <v>14.213847842203377</v>
      </c>
      <c r="V238" s="27">
        <v>93.914518727114427</v>
      </c>
      <c r="W238" s="15">
        <f t="shared" si="105"/>
        <v>131.53736428337504</v>
      </c>
      <c r="X238" s="27">
        <v>24.432487326291596</v>
      </c>
      <c r="Y238" s="15">
        <f t="shared" si="106"/>
        <v>34.220321089283267</v>
      </c>
      <c r="Z238" s="27">
        <v>4.4039288677257833</v>
      </c>
      <c r="AA238" s="15">
        <f t="shared" si="107"/>
        <v>6.1681750979880308</v>
      </c>
      <c r="AB238" s="24">
        <v>3230.1094098635645</v>
      </c>
      <c r="AC238" s="15">
        <f t="shared" si="108"/>
        <v>4524.1149492012728</v>
      </c>
      <c r="AD238" s="24">
        <v>289.90733523309621</v>
      </c>
      <c r="AE238" s="15">
        <f t="shared" si="109"/>
        <v>406.04634171402716</v>
      </c>
      <c r="AF238" s="24">
        <v>576.80525176135063</v>
      </c>
      <c r="AG238" s="15">
        <f t="shared" si="110"/>
        <v>807.87766950022717</v>
      </c>
      <c r="AH238" s="24">
        <v>19.159965754159646</v>
      </c>
      <c r="AI238" s="15">
        <f t="shared" si="111"/>
        <v>26.83558867383363</v>
      </c>
    </row>
    <row r="239" spans="1:35" x14ac:dyDescent="0.45">
      <c r="A239" s="11" t="s">
        <v>2</v>
      </c>
      <c r="B239" s="11" t="s">
        <v>7</v>
      </c>
      <c r="C239" s="10" t="s">
        <v>5</v>
      </c>
      <c r="D239" t="s">
        <v>64</v>
      </c>
      <c r="E239" t="s">
        <v>57</v>
      </c>
      <c r="F239" t="s">
        <v>48</v>
      </c>
      <c r="G239" s="12">
        <v>1.4006073402301149</v>
      </c>
      <c r="H239" s="25">
        <v>0.11771628966877667</v>
      </c>
      <c r="I239" s="19">
        <f t="shared" si="98"/>
        <v>1648.7429937474305</v>
      </c>
      <c r="J239" s="15">
        <v>85.322260895928977</v>
      </c>
      <c r="K239" s="15">
        <f t="shared" si="99"/>
        <v>119.50298489586703</v>
      </c>
      <c r="L239" s="26">
        <v>32606.634945911184</v>
      </c>
      <c r="M239" s="15">
        <f t="shared" si="100"/>
        <v>45669.092245446984</v>
      </c>
      <c r="N239" s="15">
        <v>114.64004217294421</v>
      </c>
      <c r="O239" s="15">
        <f t="shared" si="101"/>
        <v>160.56568455171558</v>
      </c>
      <c r="P239" s="27">
        <v>3.3927325818642573</v>
      </c>
      <c r="Q239" s="19">
        <f t="shared" si="102"/>
        <v>47.518861575969474</v>
      </c>
      <c r="R239" s="27">
        <v>1.0352446851005739</v>
      </c>
      <c r="S239" s="19">
        <f t="shared" si="103"/>
        <v>14.499713048860777</v>
      </c>
      <c r="T239" s="27">
        <v>10.500656839575422</v>
      </c>
      <c r="U239" s="15">
        <f t="shared" si="104"/>
        <v>14.707297046746897</v>
      </c>
      <c r="V239" s="27">
        <v>107.19235111749832</v>
      </c>
      <c r="W239" s="15">
        <f t="shared" si="105"/>
        <v>150.13439379169193</v>
      </c>
      <c r="X239" s="27">
        <v>25.569644862412755</v>
      </c>
      <c r="Y239" s="15">
        <f t="shared" si="106"/>
        <v>35.813032281372557</v>
      </c>
      <c r="Z239" s="27">
        <v>2.5064743553422941</v>
      </c>
      <c r="AA239" s="15">
        <f t="shared" si="107"/>
        <v>3.5105863801909623</v>
      </c>
      <c r="AB239" s="24">
        <v>3344.8297665706564</v>
      </c>
      <c r="AC239" s="15">
        <f t="shared" si="108"/>
        <v>4684.7931228790439</v>
      </c>
      <c r="AD239" s="24">
        <v>277.16694438437275</v>
      </c>
      <c r="AE239" s="15">
        <f t="shared" si="109"/>
        <v>388.20205677390453</v>
      </c>
      <c r="AF239" s="24">
        <v>587.80310469440553</v>
      </c>
      <c r="AG239" s="15">
        <f t="shared" si="110"/>
        <v>823.2813430450351</v>
      </c>
      <c r="AH239" s="24">
        <v>13.596868969799417</v>
      </c>
      <c r="AI239" s="15">
        <f t="shared" si="111"/>
        <v>19.043874483248146</v>
      </c>
    </row>
    <row r="240" spans="1:35" x14ac:dyDescent="0.45">
      <c r="A240" s="11" t="s">
        <v>2</v>
      </c>
      <c r="B240" s="11" t="s">
        <v>7</v>
      </c>
      <c r="C240" s="18" t="s">
        <v>5</v>
      </c>
      <c r="D240" t="s">
        <v>64</v>
      </c>
      <c r="E240" t="s">
        <v>51</v>
      </c>
      <c r="F240" t="s">
        <v>49</v>
      </c>
      <c r="G240" s="12">
        <v>1.4006073402301149</v>
      </c>
      <c r="H240" s="25">
        <v>0.13592380124219139</v>
      </c>
      <c r="I240" s="19">
        <f t="shared" si="98"/>
        <v>1903.7587373179247</v>
      </c>
      <c r="J240" s="15">
        <v>158.61838806668914</v>
      </c>
      <c r="K240" s="15">
        <f t="shared" si="99"/>
        <v>222.16207862167369</v>
      </c>
      <c r="L240" s="26">
        <v>27951.654970288513</v>
      </c>
      <c r="M240" s="15">
        <f t="shared" si="100"/>
        <v>39149.293122965668</v>
      </c>
      <c r="N240" s="15">
        <v>112.19349399838985</v>
      </c>
      <c r="O240" s="15">
        <f t="shared" si="101"/>
        <v>157.13903122020821</v>
      </c>
      <c r="P240" s="27">
        <v>4.3370252100840334</v>
      </c>
      <c r="Q240" s="19">
        <f t="shared" si="102"/>
        <v>60.744693440067529</v>
      </c>
      <c r="R240" s="27">
        <v>1.706033613445378</v>
      </c>
      <c r="S240" s="19">
        <f t="shared" si="103"/>
        <v>23.894832016709028</v>
      </c>
      <c r="T240" s="27">
        <v>15.617006205241502</v>
      </c>
      <c r="U240" s="15">
        <f t="shared" si="104"/>
        <v>21.873293523480502</v>
      </c>
      <c r="V240" s="27">
        <v>414.91785004604276</v>
      </c>
      <c r="W240" s="15">
        <f t="shared" si="105"/>
        <v>581.13698636698564</v>
      </c>
      <c r="X240" s="27">
        <v>91.919495855338212</v>
      </c>
      <c r="Y240" s="15">
        <f t="shared" si="106"/>
        <v>128.74312060523835</v>
      </c>
      <c r="Z240" s="27">
        <v>2.9985659751226619</v>
      </c>
      <c r="AA240" s="15">
        <f t="shared" si="107"/>
        <v>4.1998135149210727</v>
      </c>
      <c r="AB240" s="24">
        <v>2826.7652837166297</v>
      </c>
      <c r="AC240" s="15">
        <f t="shared" si="108"/>
        <v>3959.1882054811749</v>
      </c>
      <c r="AD240" s="24">
        <v>407.86184807911371</v>
      </c>
      <c r="AE240" s="15">
        <f t="shared" si="109"/>
        <v>571.2542982194268</v>
      </c>
      <c r="AF240" s="24">
        <v>431.08170576678606</v>
      </c>
      <c r="AG240" s="15">
        <f t="shared" si="110"/>
        <v>603.77620133587925</v>
      </c>
      <c r="AH240" s="24">
        <v>11.508972940846281</v>
      </c>
      <c r="AI240" s="15">
        <f t="shared" si="111"/>
        <v>16.119551979459075</v>
      </c>
    </row>
    <row r="241" spans="1:35" x14ac:dyDescent="0.45">
      <c r="A241" s="11" t="s">
        <v>2</v>
      </c>
      <c r="B241" s="11" t="s">
        <v>7</v>
      </c>
      <c r="C241" s="18" t="s">
        <v>5</v>
      </c>
      <c r="D241" t="s">
        <v>64</v>
      </c>
      <c r="E241" t="s">
        <v>52</v>
      </c>
      <c r="F241" t="s">
        <v>49</v>
      </c>
      <c r="G241" s="12">
        <v>1.4006073402301149</v>
      </c>
      <c r="H241" s="25">
        <v>0.13171602058514306</v>
      </c>
      <c r="I241" s="19">
        <f t="shared" si="98"/>
        <v>1844.8242525745229</v>
      </c>
      <c r="J241" s="15">
        <v>149.57171397289565</v>
      </c>
      <c r="K241" s="15">
        <f t="shared" si="99"/>
        <v>209.4912404812369</v>
      </c>
      <c r="L241" s="26">
        <v>30585.497921380589</v>
      </c>
      <c r="M241" s="15">
        <f t="shared" si="100"/>
        <v>42838.272893278583</v>
      </c>
      <c r="N241" s="15">
        <v>110.26119940309613</v>
      </c>
      <c r="O241" s="15">
        <f t="shared" si="101"/>
        <v>154.43264522655281</v>
      </c>
      <c r="P241" s="27">
        <v>4.3395931705943784</v>
      </c>
      <c r="Q241" s="19">
        <f t="shared" si="102"/>
        <v>60.780660483469639</v>
      </c>
      <c r="R241" s="27">
        <v>1.210572090142167</v>
      </c>
      <c r="S241" s="19">
        <f t="shared" si="103"/>
        <v>16.955361553308315</v>
      </c>
      <c r="T241" s="27">
        <v>15.744937966645296</v>
      </c>
      <c r="U241" s="15">
        <f t="shared" si="104"/>
        <v>22.052475687551222</v>
      </c>
      <c r="V241" s="27">
        <v>189.54881798836192</v>
      </c>
      <c r="W241" s="15">
        <f t="shared" si="105"/>
        <v>265.48346580644176</v>
      </c>
      <c r="X241" s="27">
        <v>34.087375351698384</v>
      </c>
      <c r="Y241" s="15">
        <f t="shared" si="106"/>
        <v>47.743028126767854</v>
      </c>
      <c r="Z241" s="27">
        <v>4.7848338291695569</v>
      </c>
      <c r="AA241" s="15">
        <f t="shared" si="107"/>
        <v>6.7016733829162494</v>
      </c>
      <c r="AB241" s="24">
        <v>3025.40431680445</v>
      </c>
      <c r="AC241" s="15">
        <f t="shared" si="108"/>
        <v>4237.4034932801887</v>
      </c>
      <c r="AD241" s="24">
        <v>242.11441802843342</v>
      </c>
      <c r="AE241" s="15">
        <f t="shared" si="109"/>
        <v>339.10723106616632</v>
      </c>
      <c r="AF241" s="24">
        <v>427.80386575363025</v>
      </c>
      <c r="AG241" s="15">
        <f t="shared" si="110"/>
        <v>599.18523455335321</v>
      </c>
      <c r="AH241" s="24">
        <v>8.2277865787628652</v>
      </c>
      <c r="AI241" s="15">
        <f t="shared" si="111"/>
        <v>11.523898276062093</v>
      </c>
    </row>
    <row r="242" spans="1:35" x14ac:dyDescent="0.45">
      <c r="A242" s="11" t="s">
        <v>2</v>
      </c>
      <c r="B242" s="11" t="s">
        <v>7</v>
      </c>
      <c r="C242" s="18" t="s">
        <v>5</v>
      </c>
      <c r="D242" t="s">
        <v>64</v>
      </c>
      <c r="E242" t="s">
        <v>53</v>
      </c>
      <c r="F242" t="s">
        <v>49</v>
      </c>
      <c r="G242" s="12">
        <v>1.4006073402301149</v>
      </c>
      <c r="H242" s="25">
        <v>0.12656372787605</v>
      </c>
      <c r="I242" s="19">
        <f t="shared" si="98"/>
        <v>1772.6608627008245</v>
      </c>
      <c r="J242" s="15">
        <v>70.328267735214823</v>
      </c>
      <c r="K242" s="15">
        <f t="shared" si="99"/>
        <v>98.502288015610645</v>
      </c>
      <c r="L242" s="26">
        <v>29228.627583571546</v>
      </c>
      <c r="M242" s="15">
        <f t="shared" si="100"/>
        <v>40937.830338402717</v>
      </c>
      <c r="N242" s="15">
        <v>101.7515362977576</v>
      </c>
      <c r="O242" s="15">
        <f t="shared" si="101"/>
        <v>142.51394861833026</v>
      </c>
      <c r="P242" s="27">
        <v>3.6069363417588161</v>
      </c>
      <c r="Q242" s="19">
        <f t="shared" si="102"/>
        <v>50.51901516010156</v>
      </c>
      <c r="R242" s="27">
        <v>1.157908541530529</v>
      </c>
      <c r="S242" s="19">
        <f t="shared" si="103"/>
        <v>16.217752025828059</v>
      </c>
      <c r="T242" s="27">
        <v>10.005965838442478</v>
      </c>
      <c r="U242" s="15">
        <f t="shared" si="104"/>
        <v>14.014429199414311</v>
      </c>
      <c r="V242" s="27">
        <v>311.55734378408368</v>
      </c>
      <c r="W242" s="15">
        <f t="shared" si="105"/>
        <v>436.369502606585</v>
      </c>
      <c r="X242" s="27">
        <v>61.132512700550492</v>
      </c>
      <c r="Y242" s="15">
        <f t="shared" si="106"/>
        <v>85.622646015101751</v>
      </c>
      <c r="Z242" s="27">
        <v>2.066617460900773</v>
      </c>
      <c r="AA242" s="15">
        <f t="shared" si="107"/>
        <v>2.8945195851853454</v>
      </c>
      <c r="AB242" s="24">
        <v>2546.4277025470647</v>
      </c>
      <c r="AC242" s="15">
        <f t="shared" si="108"/>
        <v>3566.5453315527266</v>
      </c>
      <c r="AD242" s="24">
        <v>329.31245476548503</v>
      </c>
      <c r="AE242" s="15">
        <f t="shared" si="109"/>
        <v>461.23744137373603</v>
      </c>
      <c r="AF242" s="24">
        <v>416.42708669472677</v>
      </c>
      <c r="AG242" s="15">
        <f t="shared" si="110"/>
        <v>583.25083429527672</v>
      </c>
      <c r="AH242" s="24">
        <v>12.157756324190872</v>
      </c>
      <c r="AI242" s="15">
        <f t="shared" si="111"/>
        <v>17.028242748390838</v>
      </c>
    </row>
    <row r="243" spans="1:35" x14ac:dyDescent="0.45">
      <c r="A243" s="11" t="s">
        <v>2</v>
      </c>
      <c r="B243" s="11" t="s">
        <v>7</v>
      </c>
      <c r="C243" s="18" t="s">
        <v>5</v>
      </c>
      <c r="D243" t="s">
        <v>64</v>
      </c>
      <c r="E243" t="s">
        <v>54</v>
      </c>
      <c r="F243" t="s">
        <v>49</v>
      </c>
      <c r="G243" s="12">
        <v>1.4006073402301149</v>
      </c>
      <c r="H243" s="25">
        <v>0.19440739469051627</v>
      </c>
      <c r="I243" s="19">
        <f t="shared" si="98"/>
        <v>2722.8842399855016</v>
      </c>
      <c r="J243" s="15">
        <v>82.328920678979372</v>
      </c>
      <c r="K243" s="15">
        <f t="shared" si="99"/>
        <v>115.31049061620142</v>
      </c>
      <c r="L243" s="26">
        <v>30590.103555033624</v>
      </c>
      <c r="M243" s="15">
        <f t="shared" si="100"/>
        <v>42844.723577579432</v>
      </c>
      <c r="N243" s="15">
        <v>104.79942884594855</v>
      </c>
      <c r="O243" s="15">
        <f t="shared" si="101"/>
        <v>146.7828492935592</v>
      </c>
      <c r="P243" s="27">
        <v>3.4001088929219594</v>
      </c>
      <c r="Q243" s="19">
        <f t="shared" si="102"/>
        <v>47.622174730081859</v>
      </c>
      <c r="R243" s="27">
        <v>1.0888566243194191</v>
      </c>
      <c r="S243" s="19">
        <f t="shared" si="103"/>
        <v>15.25060580479963</v>
      </c>
      <c r="T243" s="27">
        <v>12.953841787443446</v>
      </c>
      <c r="U243" s="15">
        <f t="shared" si="104"/>
        <v>18.143245891672883</v>
      </c>
      <c r="V243" s="27">
        <v>343.46471379545164</v>
      </c>
      <c r="W243" s="15">
        <f t="shared" si="105"/>
        <v>481.05919925194519</v>
      </c>
      <c r="X243" s="27">
        <v>42.883247062138743</v>
      </c>
      <c r="Y243" s="15">
        <f t="shared" si="106"/>
        <v>60.062590608133043</v>
      </c>
      <c r="Z243" s="27">
        <v>1.9746990013116799</v>
      </c>
      <c r="AA243" s="15">
        <f t="shared" si="107"/>
        <v>2.7657779159822162</v>
      </c>
      <c r="AB243" s="24">
        <v>2472.2807862243685</v>
      </c>
      <c r="AC243" s="15">
        <f t="shared" si="108"/>
        <v>3462.6946162957302</v>
      </c>
      <c r="AD243" s="24">
        <v>443.50075172727213</v>
      </c>
      <c r="AE243" s="15">
        <f t="shared" si="109"/>
        <v>621.17040826679124</v>
      </c>
      <c r="AF243" s="24">
        <v>456.71141241702077</v>
      </c>
      <c r="AG243" s="15">
        <f t="shared" si="110"/>
        <v>639.67335659814262</v>
      </c>
      <c r="AH243" s="24">
        <v>10.474166689729193</v>
      </c>
      <c r="AI243" s="15">
        <f t="shared" si="111"/>
        <v>14.670194748428473</v>
      </c>
    </row>
    <row r="244" spans="1:35" x14ac:dyDescent="0.45">
      <c r="A244" s="11" t="s">
        <v>2</v>
      </c>
      <c r="B244" s="11" t="s">
        <v>7</v>
      </c>
      <c r="C244" s="18" t="s">
        <v>5</v>
      </c>
      <c r="D244" t="s">
        <v>64</v>
      </c>
      <c r="E244" t="s">
        <v>55</v>
      </c>
      <c r="F244" t="s">
        <v>49</v>
      </c>
      <c r="G244" s="12">
        <v>1.4006073402301149</v>
      </c>
      <c r="H244" s="25">
        <v>0.10318827569400482</v>
      </c>
      <c r="I244" s="19">
        <f t="shared" si="98"/>
        <v>1445.2625636271191</v>
      </c>
      <c r="J244" s="15">
        <v>94.598137348370329</v>
      </c>
      <c r="K244" s="15">
        <f t="shared" si="99"/>
        <v>132.49484554222406</v>
      </c>
      <c r="L244" s="26">
        <v>27718.536595299331</v>
      </c>
      <c r="M244" s="15">
        <f t="shared" si="100"/>
        <v>38822.785815813302</v>
      </c>
      <c r="N244" s="15">
        <v>97.162841802027927</v>
      </c>
      <c r="O244" s="15">
        <f t="shared" si="101"/>
        <v>136.08698942553775</v>
      </c>
      <c r="P244" s="27">
        <v>4.6402369083203281</v>
      </c>
      <c r="Q244" s="19">
        <f t="shared" si="102"/>
        <v>64.991498742001454</v>
      </c>
      <c r="R244" s="27">
        <v>1.0277717713604237</v>
      </c>
      <c r="S244" s="19">
        <f t="shared" si="103"/>
        <v>14.395046870487169</v>
      </c>
      <c r="T244" s="27">
        <v>11.110296106245444</v>
      </c>
      <c r="U244" s="15">
        <f t="shared" si="104"/>
        <v>15.561162278537436</v>
      </c>
      <c r="V244" s="27">
        <v>86.829604140316391</v>
      </c>
      <c r="W244" s="15">
        <f t="shared" si="105"/>
        <v>121.61418090820231</v>
      </c>
      <c r="X244" s="27">
        <v>24.323718806892416</v>
      </c>
      <c r="Y244" s="15">
        <f t="shared" si="106"/>
        <v>34.067979102626815</v>
      </c>
      <c r="Z244" s="27">
        <v>3.6074825249576121</v>
      </c>
      <c r="AA244" s="15">
        <f t="shared" si="107"/>
        <v>5.0526665042075001</v>
      </c>
      <c r="AB244" s="24">
        <v>3012.0836071553013</v>
      </c>
      <c r="AC244" s="15">
        <f t="shared" si="108"/>
        <v>4218.7464095685173</v>
      </c>
      <c r="AD244" s="24">
        <v>233.02944122924458</v>
      </c>
      <c r="AE244" s="15">
        <f t="shared" si="109"/>
        <v>326.38274587540218</v>
      </c>
      <c r="AF244" s="24">
        <v>367.35208857535935</v>
      </c>
      <c r="AG244" s="15">
        <f t="shared" si="110"/>
        <v>514.51603170751162</v>
      </c>
      <c r="AH244" s="24">
        <v>12.109390177414893</v>
      </c>
      <c r="AI244" s="15">
        <f t="shared" si="111"/>
        <v>16.960500768197754</v>
      </c>
    </row>
    <row r="245" spans="1:35" x14ac:dyDescent="0.45">
      <c r="A245" s="11" t="s">
        <v>2</v>
      </c>
      <c r="B245" s="11" t="s">
        <v>7</v>
      </c>
      <c r="C245" s="18" t="s">
        <v>5</v>
      </c>
      <c r="D245" t="s">
        <v>64</v>
      </c>
      <c r="E245" t="s">
        <v>56</v>
      </c>
      <c r="F245" t="s">
        <v>49</v>
      </c>
      <c r="G245" s="12">
        <v>1.4006073402301149</v>
      </c>
      <c r="H245" s="25">
        <v>0.13028956549878787</v>
      </c>
      <c r="I245" s="19">
        <f t="shared" ref="I245:I246" si="112">G245*0.1*10000*H245/100*1000</f>
        <v>1824.8452179299463</v>
      </c>
      <c r="J245" s="15">
        <v>154.80974704342688</v>
      </c>
      <c r="K245" s="15">
        <f t="shared" ref="K245:K246" si="113">G245*0.1*10000*1000*J245/1000000</f>
        <v>216.82766804819104</v>
      </c>
      <c r="L245" s="26">
        <v>33045.926772731516</v>
      </c>
      <c r="M245" s="15">
        <f t="shared" ref="M245:M246" si="114">G245*0.1*10000*1000*L245/1000000</f>
        <v>46284.367602594633</v>
      </c>
      <c r="N245" s="15">
        <v>133.96997340296556</v>
      </c>
      <c r="O245" s="15">
        <f t="shared" ref="O245:O246" si="115">G245*0.1*10000*1000*N245/1000000</f>
        <v>187.63932811862682</v>
      </c>
      <c r="P245" s="27">
        <v>3.6049235865373994</v>
      </c>
      <c r="Q245" s="19">
        <f t="shared" ref="Q245:Q246" si="116">G245*0.1*10000*P245/100</f>
        <v>50.490824362729533</v>
      </c>
      <c r="R245" s="27">
        <v>1.6181191098662191</v>
      </c>
      <c r="S245" s="19">
        <f t="shared" ref="S245:S246" si="117">G245*0.1*10000*R245/100</f>
        <v>22.663495026452459</v>
      </c>
      <c r="T245" s="27">
        <v>12.650885041700347</v>
      </c>
      <c r="U245" s="15">
        <f t="shared" ref="U245:U246" si="118">G245*0.1*10000*1000*T245/1000000</f>
        <v>17.718922449812869</v>
      </c>
      <c r="V245" s="27">
        <v>325.05866233144855</v>
      </c>
      <c r="W245" s="15">
        <f t="shared" ref="W245:W246" si="119">G245*0.1*10000*1000*V245/1000000</f>
        <v>455.27954846680922</v>
      </c>
      <c r="X245" s="27">
        <v>99.679397935108554</v>
      </c>
      <c r="Y245" s="15">
        <f t="shared" ref="Y245:Y246" si="120">G245*0.1*10000*1000*X245/1000000</f>
        <v>139.61169641763161</v>
      </c>
      <c r="Z245" s="27">
        <v>3.2193106988611611</v>
      </c>
      <c r="AA245" s="15">
        <f t="shared" ref="AA245:AA246" si="121">G245*0.1*10000*1000*Z245/1000000</f>
        <v>4.5089901953062839</v>
      </c>
      <c r="AB245" s="24">
        <v>3297.656139013664</v>
      </c>
      <c r="AC245" s="15">
        <f t="shared" ref="AC245:AC246" si="122">G245*0.1*10000*1000*AB245/1000000</f>
        <v>4618.7213938574378</v>
      </c>
      <c r="AD245" s="24">
        <v>441.84887031166227</v>
      </c>
      <c r="AE245" s="15">
        <f t="shared" ref="AE245:AE246" si="123">G245*0.1*10000*1000*AD245/1000000</f>
        <v>618.85677103089836</v>
      </c>
      <c r="AF245" s="24">
        <v>539.11120025448099</v>
      </c>
      <c r="AG245" s="15">
        <f t="shared" ref="AG245:AG246" si="124">G245*0.1*10000*1000*AF245/1000000</f>
        <v>755.08310427669346</v>
      </c>
      <c r="AH245" s="24">
        <v>12.783049078199033</v>
      </c>
      <c r="AI245" s="15">
        <f t="shared" ref="AI245:AI246" si="125">G245*0.1*10000*1000*AH245/1000000</f>
        <v>17.904032369447371</v>
      </c>
    </row>
    <row r="246" spans="1:35" x14ac:dyDescent="0.45">
      <c r="A246" s="11" t="s">
        <v>2</v>
      </c>
      <c r="B246" s="11" t="s">
        <v>7</v>
      </c>
      <c r="C246" s="18" t="s">
        <v>5</v>
      </c>
      <c r="D246" t="s">
        <v>64</v>
      </c>
      <c r="E246" t="s">
        <v>57</v>
      </c>
      <c r="F246" t="s">
        <v>49</v>
      </c>
      <c r="G246" s="12">
        <v>1.4006073402301149</v>
      </c>
      <c r="H246" s="25">
        <v>9.6641478117726803E-2</v>
      </c>
      <c r="I246" s="19">
        <f t="shared" si="112"/>
        <v>1353.5676362237618</v>
      </c>
      <c r="J246" s="15">
        <v>66.351556895339172</v>
      </c>
      <c r="K246" s="15">
        <f t="shared" si="113"/>
        <v>92.932477623308131</v>
      </c>
      <c r="L246" s="26">
        <v>34957.351455744734</v>
      </c>
      <c r="M246" s="15">
        <f t="shared" si="114"/>
        <v>48961.523043919966</v>
      </c>
      <c r="N246" s="15">
        <v>115.56149241568505</v>
      </c>
      <c r="O246" s="15">
        <f t="shared" si="115"/>
        <v>161.85627452535525</v>
      </c>
      <c r="P246" s="27">
        <v>3.7012940022586198</v>
      </c>
      <c r="Q246" s="19">
        <f t="shared" si="116"/>
        <v>51.840595479131224</v>
      </c>
      <c r="R246" s="27">
        <v>1.0103810925385648</v>
      </c>
      <c r="S246" s="19">
        <f t="shared" si="117"/>
        <v>14.151471746392369</v>
      </c>
      <c r="T246" s="27">
        <v>11.573633684641056</v>
      </c>
      <c r="U246" s="15">
        <f t="shared" si="118"/>
        <v>16.210116291842777</v>
      </c>
      <c r="V246" s="27">
        <v>6.4036163050413455</v>
      </c>
      <c r="W246" s="15">
        <f t="shared" si="119"/>
        <v>8.968952000858156</v>
      </c>
      <c r="X246" s="27">
        <v>17.425770033630208</v>
      </c>
      <c r="Y246" s="15">
        <f t="shared" si="120"/>
        <v>24.406661418264449</v>
      </c>
      <c r="Z246" s="27">
        <v>2.8429034038605376</v>
      </c>
      <c r="AA246" s="15">
        <f t="shared" si="121"/>
        <v>3.9817913750122478</v>
      </c>
      <c r="AB246" s="24">
        <v>3199.1358122094416</v>
      </c>
      <c r="AC246" s="15">
        <f t="shared" si="122"/>
        <v>4480.7331009735744</v>
      </c>
      <c r="AD246" s="24">
        <v>166.77959210570546</v>
      </c>
      <c r="AE246" s="15">
        <f t="shared" si="123"/>
        <v>233.59272090383558</v>
      </c>
      <c r="AF246" s="24">
        <v>559.97511531248983</v>
      </c>
      <c r="AG246" s="15">
        <f t="shared" si="124"/>
        <v>784.3052568528783</v>
      </c>
      <c r="AH246" s="24">
        <v>8.9656665574400449</v>
      </c>
      <c r="AI246" s="15">
        <f t="shared" si="125"/>
        <v>12.557378390406193</v>
      </c>
    </row>
    <row r="247" spans="1:35" x14ac:dyDescent="0.45">
      <c r="A247" s="11" t="s">
        <v>2</v>
      </c>
      <c r="B247" s="11" t="s">
        <v>7</v>
      </c>
      <c r="C247" s="10" t="s">
        <v>6</v>
      </c>
      <c r="D247" t="s">
        <v>65</v>
      </c>
      <c r="E247" t="s">
        <v>51</v>
      </c>
      <c r="F247" t="s">
        <v>43</v>
      </c>
      <c r="G247" s="12">
        <v>1.4687517766368094</v>
      </c>
      <c r="H247" s="25">
        <v>8.5668110598756841E-2</v>
      </c>
      <c r="I247" s="19">
        <f t="shared" ref="I247:I278" si="126">G247*0.2*10000*H247/100*1000</f>
        <v>2516.5037928608558</v>
      </c>
      <c r="J247" s="15">
        <v>70.985917201042241</v>
      </c>
      <c r="K247" s="15">
        <f t="shared" ref="K247:K278" si="127">G247*0.2*10000*1000*J247/1000000</f>
        <v>208.52138401044849</v>
      </c>
      <c r="L247" s="26">
        <v>26733.640714800509</v>
      </c>
      <c r="M247" s="15">
        <f t="shared" ref="M247:M278" si="128">G247*0.2*10000*1000*L247/1000000</f>
        <v>78530.164591666777</v>
      </c>
      <c r="N247" s="15">
        <v>94.580380407665444</v>
      </c>
      <c r="O247" s="15">
        <f t="shared" ref="O247:O278" si="129">G247*0.2*10000*1000*N247/1000000</f>
        <v>277.83020351748775</v>
      </c>
      <c r="P247" s="27">
        <v>4.2145827619980407</v>
      </c>
      <c r="Q247" s="19">
        <f t="shared" ref="Q247:Q278" si="130">G247*0.2*10000*P247/100</f>
        <v>123.80351838934986</v>
      </c>
      <c r="R247" s="27">
        <v>0.81406366307541633</v>
      </c>
      <c r="S247" s="19">
        <f t="shared" ref="S247:S278" si="131">G247*0.2*10000*R247/100</f>
        <v>23.913149028749736</v>
      </c>
      <c r="T247" s="27">
        <v>10.33728443357939</v>
      </c>
      <c r="U247" s="15">
        <f t="shared" ref="U247:U278" si="132">G247*0.2*10000*1000*T247/1000000</f>
        <v>30.365809754839525</v>
      </c>
      <c r="V247" s="27">
        <v>15.130460136004121</v>
      </c>
      <c r="W247" s="15">
        <f t="shared" ref="W247:W278" si="133">G247*0.2*10000*1000*V247/1000000</f>
        <v>44.445780412176944</v>
      </c>
      <c r="X247" s="27">
        <v>7.7083427046439796</v>
      </c>
      <c r="Y247" s="15">
        <f t="shared" ref="Y247:Y278" si="134">G247*0.2*10000*1000*X247/1000000</f>
        <v>22.643284084742469</v>
      </c>
      <c r="Z247" s="27">
        <v>9.8698370097874254E-3</v>
      </c>
      <c r="AA247" s="15">
        <f t="shared" ref="AA247:AA278" si="135">G247*0.2*10000*1000*Z247/1000000</f>
        <v>2.8992681286482032E-2</v>
      </c>
      <c r="AB247" s="24">
        <v>2965.2021827340145</v>
      </c>
      <c r="AC247" s="15">
        <f t="shared" ref="AC247:AC278" si="136">G247*0.2*10000*1000*AB247/1000000</f>
        <v>8710.2919479558586</v>
      </c>
      <c r="AD247" s="24">
        <v>90.217853644885963</v>
      </c>
      <c r="AE247" s="15">
        <f t="shared" ref="AE247:AE278" si="137">G247*0.2*10000*1000*AD247/1000000</f>
        <v>265.01526565057179</v>
      </c>
      <c r="AF247" s="24">
        <v>360.66111655239962</v>
      </c>
      <c r="AG247" s="15">
        <f t="shared" ref="AG247:AG278" si="138">G247*0.2*10000*1000*AF247/1000000</f>
        <v>1059.4433114003045</v>
      </c>
      <c r="AH247" s="24">
        <v>14.931159927242199</v>
      </c>
      <c r="AI247" s="15">
        <f t="shared" ref="AI247:AI278" si="139">G247*0.2*10000*1000*AH247/1000000</f>
        <v>43.860335340770625</v>
      </c>
    </row>
    <row r="248" spans="1:35" x14ac:dyDescent="0.45">
      <c r="A248" s="11" t="s">
        <v>2</v>
      </c>
      <c r="B248" s="11" t="s">
        <v>7</v>
      </c>
      <c r="C248" s="10" t="s">
        <v>6</v>
      </c>
      <c r="D248" t="s">
        <v>65</v>
      </c>
      <c r="E248" t="s">
        <v>52</v>
      </c>
      <c r="F248" t="s">
        <v>43</v>
      </c>
      <c r="G248" s="12">
        <v>1.4687517766368094</v>
      </c>
      <c r="H248" s="25">
        <v>0.10476895476710771</v>
      </c>
      <c r="I248" s="19">
        <f t="shared" si="126"/>
        <v>3077.5917690114193</v>
      </c>
      <c r="J248" s="15">
        <v>136.17068081872316</v>
      </c>
      <c r="K248" s="15">
        <f t="shared" si="127"/>
        <v>400.00185875668706</v>
      </c>
      <c r="L248" s="26">
        <v>27834.889167356647</v>
      </c>
      <c r="M248" s="15">
        <f t="shared" si="128"/>
        <v>81765.085834087513</v>
      </c>
      <c r="N248" s="15">
        <v>104.13052062608243</v>
      </c>
      <c r="O248" s="15">
        <f t="shared" si="129"/>
        <v>305.88377434334899</v>
      </c>
      <c r="P248" s="27">
        <v>4.0259462537059116</v>
      </c>
      <c r="Q248" s="19">
        <f t="shared" si="130"/>
        <v>118.2623142554973</v>
      </c>
      <c r="R248" s="27">
        <v>1.011648032982511</v>
      </c>
      <c r="S248" s="19">
        <f t="shared" si="131"/>
        <v>29.717196915483932</v>
      </c>
      <c r="T248" s="27">
        <v>13.408936305164271</v>
      </c>
      <c r="U248" s="15">
        <f t="shared" si="132"/>
        <v>39.388798042039674</v>
      </c>
      <c r="V248" s="27">
        <v>9.9491059079697628</v>
      </c>
      <c r="W248" s="15">
        <f t="shared" si="133"/>
        <v>29.225533956556731</v>
      </c>
      <c r="X248" s="27">
        <v>7.941483145228351</v>
      </c>
      <c r="Y248" s="15">
        <f t="shared" si="134"/>
        <v>23.328134957370832</v>
      </c>
      <c r="Z248" s="27">
        <v>1.3153390514512708</v>
      </c>
      <c r="AA248" s="15">
        <f t="shared" si="135"/>
        <v>3.863813137397659</v>
      </c>
      <c r="AB248" s="24">
        <v>2995.716930321681</v>
      </c>
      <c r="AC248" s="15">
        <f t="shared" si="136"/>
        <v>8799.9291274218758</v>
      </c>
      <c r="AD248" s="24">
        <v>97.655004000148509</v>
      </c>
      <c r="AE248" s="15">
        <f t="shared" si="137"/>
        <v>286.8619212453857</v>
      </c>
      <c r="AF248" s="24">
        <v>454.20932093092335</v>
      </c>
      <c r="AG248" s="15">
        <f t="shared" si="138"/>
        <v>1334.2414941645848</v>
      </c>
      <c r="AH248" s="24">
        <v>9.879052730247583</v>
      </c>
      <c r="AI248" s="15">
        <f t="shared" si="139"/>
        <v>29.019752498079722</v>
      </c>
    </row>
    <row r="249" spans="1:35" x14ac:dyDescent="0.45">
      <c r="A249" s="11" t="s">
        <v>2</v>
      </c>
      <c r="B249" s="11" t="s">
        <v>7</v>
      </c>
      <c r="C249" s="10" t="s">
        <v>6</v>
      </c>
      <c r="D249" t="s">
        <v>65</v>
      </c>
      <c r="E249" t="s">
        <v>53</v>
      </c>
      <c r="F249" t="s">
        <v>43</v>
      </c>
      <c r="G249" s="12">
        <v>1.4687517766368094</v>
      </c>
      <c r="H249" s="25">
        <v>0.10116840007640512</v>
      </c>
      <c r="I249" s="19">
        <f t="shared" si="126"/>
        <v>2971.8253470344712</v>
      </c>
      <c r="J249" s="15">
        <v>93.716193141862789</v>
      </c>
      <c r="K249" s="15">
        <f t="shared" si="127"/>
        <v>275.29165035349871</v>
      </c>
      <c r="L249" s="26">
        <v>28182.418534937107</v>
      </c>
      <c r="M249" s="15">
        <f t="shared" si="128"/>
        <v>82785.95458622204</v>
      </c>
      <c r="N249" s="15">
        <v>103.27119120679009</v>
      </c>
      <c r="O249" s="15">
        <f t="shared" si="129"/>
        <v>303.35949112074519</v>
      </c>
      <c r="P249" s="27">
        <v>3.4029691290144748</v>
      </c>
      <c r="Q249" s="19">
        <f t="shared" si="130"/>
        <v>99.962339081604512</v>
      </c>
      <c r="R249" s="27">
        <v>0.90199181732913791</v>
      </c>
      <c r="S249" s="19">
        <f t="shared" si="131"/>
        <v>26.496041684280712</v>
      </c>
      <c r="T249" s="27">
        <v>10.429521030955694</v>
      </c>
      <c r="U249" s="15">
        <f t="shared" si="132"/>
        <v>30.63675508737429</v>
      </c>
      <c r="V249" s="27">
        <v>6.1860628339962824</v>
      </c>
      <c r="W249" s="15">
        <f t="shared" si="133"/>
        <v>18.171581555637953</v>
      </c>
      <c r="X249" s="27">
        <v>7.5928932526954362</v>
      </c>
      <c r="Y249" s="15">
        <f t="shared" si="134"/>
        <v>22.30415090942013</v>
      </c>
      <c r="Z249" s="27">
        <v>0.82813421809950238</v>
      </c>
      <c r="AA249" s="15">
        <f t="shared" si="135"/>
        <v>2.4326472082547581</v>
      </c>
      <c r="AB249" s="24">
        <v>3152.8319751266527</v>
      </c>
      <c r="AC249" s="15">
        <f t="shared" si="136"/>
        <v>9261.4551298092229</v>
      </c>
      <c r="AD249" s="24">
        <v>99.542366204373835</v>
      </c>
      <c r="AE249" s="15">
        <f t="shared" si="137"/>
        <v>292.40605442661189</v>
      </c>
      <c r="AF249" s="24">
        <v>487.85615119965399</v>
      </c>
      <c r="AG249" s="15">
        <f t="shared" si="138"/>
        <v>1433.0791776353753</v>
      </c>
      <c r="AH249" s="24">
        <v>11.826815786658278</v>
      </c>
      <c r="AI249" s="15">
        <f t="shared" si="139"/>
        <v>34.741313397221219</v>
      </c>
    </row>
    <row r="250" spans="1:35" x14ac:dyDescent="0.45">
      <c r="A250" s="11" t="s">
        <v>2</v>
      </c>
      <c r="B250" s="11" t="s">
        <v>7</v>
      </c>
      <c r="C250" s="10" t="s">
        <v>6</v>
      </c>
      <c r="D250" t="s">
        <v>65</v>
      </c>
      <c r="E250" t="s">
        <v>54</v>
      </c>
      <c r="F250" t="s">
        <v>43</v>
      </c>
      <c r="G250" s="12">
        <v>1.4687517766368094</v>
      </c>
      <c r="H250" s="25">
        <v>0.1062609102783105</v>
      </c>
      <c r="I250" s="19">
        <f t="shared" si="126"/>
        <v>3121.4180151662626</v>
      </c>
      <c r="J250" s="15">
        <v>106.0742422979631</v>
      </c>
      <c r="K250" s="15">
        <f t="shared" si="127"/>
        <v>311.59346366107337</v>
      </c>
      <c r="L250" s="26">
        <v>29222.413809536891</v>
      </c>
      <c r="M250" s="15">
        <f t="shared" si="128"/>
        <v>85840.944400746666</v>
      </c>
      <c r="N250" s="15">
        <v>105.03429874602229</v>
      </c>
      <c r="O250" s="15">
        <f t="shared" si="129"/>
        <v>308.53862578204325</v>
      </c>
      <c r="P250" s="27">
        <v>4.3518933795488044</v>
      </c>
      <c r="Q250" s="19">
        <f t="shared" si="130"/>
        <v>127.83702265892551</v>
      </c>
      <c r="R250" s="27">
        <v>0.94067054047254439</v>
      </c>
      <c r="S250" s="19">
        <f t="shared" si="131"/>
        <v>27.632230550979148</v>
      </c>
      <c r="T250" s="27">
        <v>11.926080449549868</v>
      </c>
      <c r="U250" s="15">
        <f t="shared" si="132"/>
        <v>35.032903697179769</v>
      </c>
      <c r="V250" s="27">
        <v>9.219300682012328</v>
      </c>
      <c r="W250" s="15">
        <f t="shared" si="133"/>
        <v>27.081728512109109</v>
      </c>
      <c r="X250" s="27">
        <v>9.6578293648956546</v>
      </c>
      <c r="Y250" s="15">
        <f t="shared" si="134"/>
        <v>28.369908076291281</v>
      </c>
      <c r="Z250" s="27">
        <v>4.120129950810818</v>
      </c>
      <c r="AA250" s="15">
        <f t="shared" si="135"/>
        <v>12.102896370455836</v>
      </c>
      <c r="AB250" s="24">
        <v>3133.1564924970135</v>
      </c>
      <c r="AC250" s="15">
        <f t="shared" si="136"/>
        <v>9203.6583296722856</v>
      </c>
      <c r="AD250" s="24">
        <v>107.50520462543365</v>
      </c>
      <c r="AE250" s="15">
        <f t="shared" si="137"/>
        <v>315.79692058261884</v>
      </c>
      <c r="AF250" s="24">
        <v>450.69489631431799</v>
      </c>
      <c r="AG250" s="15">
        <f t="shared" si="138"/>
        <v>1323.917859365594</v>
      </c>
      <c r="AH250" s="24">
        <v>11.88759474223545</v>
      </c>
      <c r="AI250" s="15">
        <f t="shared" si="139"/>
        <v>34.919851795193416</v>
      </c>
    </row>
    <row r="251" spans="1:35" x14ac:dyDescent="0.45">
      <c r="A251" s="11" t="s">
        <v>2</v>
      </c>
      <c r="B251" s="11" t="s">
        <v>7</v>
      </c>
      <c r="C251" s="10" t="s">
        <v>6</v>
      </c>
      <c r="D251" t="s">
        <v>65</v>
      </c>
      <c r="E251" t="s">
        <v>55</v>
      </c>
      <c r="F251" t="s">
        <v>43</v>
      </c>
      <c r="G251" s="12">
        <v>1.4687517766368094</v>
      </c>
      <c r="H251" s="25">
        <v>0.11441289950464395</v>
      </c>
      <c r="I251" s="19">
        <f t="shared" si="126"/>
        <v>3360.8829883522908</v>
      </c>
      <c r="J251" s="15">
        <v>92.218282664119727</v>
      </c>
      <c r="K251" s="15">
        <f t="shared" si="127"/>
        <v>270.89153300264263</v>
      </c>
      <c r="L251" s="26">
        <v>29071.884401790045</v>
      </c>
      <c r="M251" s="15">
        <f t="shared" si="128"/>
        <v>85398.763730618142</v>
      </c>
      <c r="N251" s="15">
        <v>107.60372798065146</v>
      </c>
      <c r="O251" s="15">
        <f t="shared" si="129"/>
        <v>316.08633328865159</v>
      </c>
      <c r="P251" s="27">
        <v>4.2942099327731089</v>
      </c>
      <c r="Q251" s="19">
        <f t="shared" si="130"/>
        <v>126.14256936023875</v>
      </c>
      <c r="R251" s="27">
        <v>1.1945524033613442</v>
      </c>
      <c r="S251" s="19">
        <f t="shared" si="131"/>
        <v>35.090019294454898</v>
      </c>
      <c r="T251" s="27">
        <v>11.895913007936237</v>
      </c>
      <c r="U251" s="15">
        <f t="shared" si="132"/>
        <v>34.94428673024656</v>
      </c>
      <c r="V251" s="27">
        <v>8.8638857991551614</v>
      </c>
      <c r="W251" s="15">
        <f t="shared" si="133"/>
        <v>26.037696030829853</v>
      </c>
      <c r="X251" s="27">
        <v>12.173069830839756</v>
      </c>
      <c r="Y251" s="15">
        <f t="shared" si="134"/>
        <v>35.758435882339668</v>
      </c>
      <c r="Z251" s="27">
        <v>4.4122453755794595</v>
      </c>
      <c r="AA251" s="15">
        <f t="shared" si="135"/>
        <v>12.960986468679755</v>
      </c>
      <c r="AB251" s="24">
        <v>3403.3436035590703</v>
      </c>
      <c r="AC251" s="15">
        <f t="shared" si="136"/>
        <v>9997.3339284658105</v>
      </c>
      <c r="AD251" s="24">
        <v>126.19933267424615</v>
      </c>
      <c r="AE251" s="15">
        <f t="shared" si="137"/>
        <v>370.71098815135753</v>
      </c>
      <c r="AF251" s="24">
        <v>463.40394957983193</v>
      </c>
      <c r="AG251" s="15">
        <f t="shared" si="138"/>
        <v>1361.2507484917851</v>
      </c>
      <c r="AH251" s="24">
        <v>15.244879387048934</v>
      </c>
      <c r="AI251" s="15">
        <f t="shared" si="139"/>
        <v>44.781887368683996</v>
      </c>
    </row>
    <row r="252" spans="1:35" x14ac:dyDescent="0.45">
      <c r="A252" s="11" t="s">
        <v>2</v>
      </c>
      <c r="B252" s="11" t="s">
        <v>7</v>
      </c>
      <c r="C252" s="10" t="s">
        <v>6</v>
      </c>
      <c r="D252" t="s">
        <v>65</v>
      </c>
      <c r="E252" t="s">
        <v>56</v>
      </c>
      <c r="F252" t="s">
        <v>43</v>
      </c>
      <c r="G252" s="12">
        <v>1.4687517766368094</v>
      </c>
      <c r="H252" s="25">
        <v>0.117591991853356</v>
      </c>
      <c r="I252" s="19">
        <f t="shared" si="126"/>
        <v>3454.2689390575574</v>
      </c>
      <c r="J252" s="15">
        <v>114.27858455494867</v>
      </c>
      <c r="K252" s="15">
        <f t="shared" si="127"/>
        <v>335.69374819324133</v>
      </c>
      <c r="L252" s="26">
        <v>32346.650204536316</v>
      </c>
      <c r="M252" s="15">
        <f t="shared" si="128"/>
        <v>95018.399912324254</v>
      </c>
      <c r="N252" s="15">
        <v>113.31012197397452</v>
      </c>
      <c r="O252" s="15">
        <f t="shared" si="129"/>
        <v>332.84888592041733</v>
      </c>
      <c r="P252" s="27">
        <v>3.9898566456959719</v>
      </c>
      <c r="Q252" s="19">
        <f t="shared" si="130"/>
        <v>117.2021807378428</v>
      </c>
      <c r="R252" s="27">
        <v>1.1517111966957445</v>
      </c>
      <c r="S252" s="19">
        <f t="shared" si="131"/>
        <v>33.83155732638761</v>
      </c>
      <c r="T252" s="27">
        <v>10.979814053285004</v>
      </c>
      <c r="U252" s="15">
        <f t="shared" si="132"/>
        <v>32.253242795808312</v>
      </c>
      <c r="V252" s="27">
        <v>3.4246358746810914</v>
      </c>
      <c r="W252" s="15">
        <f t="shared" si="133"/>
        <v>10.059880050544013</v>
      </c>
      <c r="X252" s="27">
        <v>10.386695033089657</v>
      </c>
      <c r="Y252" s="15">
        <f t="shared" si="134"/>
        <v>30.510953566470313</v>
      </c>
      <c r="Z252" s="27">
        <v>5.0651800062648462</v>
      </c>
      <c r="AA252" s="15">
        <f t="shared" si="135"/>
        <v>14.878984266373475</v>
      </c>
      <c r="AB252" s="24">
        <v>3318.7365261928412</v>
      </c>
      <c r="AC252" s="15">
        <f t="shared" si="136"/>
        <v>9748.8003380704176</v>
      </c>
      <c r="AD252" s="24">
        <v>115.44274966879513</v>
      </c>
      <c r="AE252" s="15">
        <f t="shared" si="137"/>
        <v>339.11348735176256</v>
      </c>
      <c r="AF252" s="24">
        <v>505.42581997850641</v>
      </c>
      <c r="AG252" s="15">
        <f t="shared" si="138"/>
        <v>1484.6901421030948</v>
      </c>
      <c r="AH252" s="24">
        <v>8.1488999766208323</v>
      </c>
      <c r="AI252" s="15">
        <f t="shared" si="139"/>
        <v>23.937422636595002</v>
      </c>
    </row>
    <row r="253" spans="1:35" x14ac:dyDescent="0.45">
      <c r="A253" s="11" t="s">
        <v>2</v>
      </c>
      <c r="B253" s="11" t="s">
        <v>7</v>
      </c>
      <c r="C253" s="10" t="s">
        <v>6</v>
      </c>
      <c r="D253" t="s">
        <v>65</v>
      </c>
      <c r="E253" t="s">
        <v>57</v>
      </c>
      <c r="F253" t="s">
        <v>43</v>
      </c>
      <c r="G253" s="12">
        <v>1.4687517766368094</v>
      </c>
      <c r="H253" s="25">
        <v>0.11433867556334153</v>
      </c>
      <c r="I253" s="19">
        <f t="shared" si="126"/>
        <v>3358.7026574391525</v>
      </c>
      <c r="J253" s="15">
        <v>95.64613377186798</v>
      </c>
      <c r="K253" s="15">
        <f t="shared" si="127"/>
        <v>280.96085781174605</v>
      </c>
      <c r="L253" s="26">
        <v>30769.180770006591</v>
      </c>
      <c r="M253" s="15">
        <f t="shared" si="128"/>
        <v>90384.577843212668</v>
      </c>
      <c r="N253" s="15">
        <v>125.42276032348727</v>
      </c>
      <c r="O253" s="15">
        <f t="shared" si="129"/>
        <v>368.42980411162932</v>
      </c>
      <c r="P253" s="27">
        <v>4.3568726855761311</v>
      </c>
      <c r="Q253" s="19">
        <f t="shared" si="130"/>
        <v>127.9832899504066</v>
      </c>
      <c r="R253" s="27">
        <v>1.0481155988885975</v>
      </c>
      <c r="S253" s="19">
        <f t="shared" si="131"/>
        <v>30.788432959767619</v>
      </c>
      <c r="T253" s="27">
        <v>13.792123901953049</v>
      </c>
      <c r="U253" s="15">
        <f t="shared" si="132"/>
        <v>40.514412969177087</v>
      </c>
      <c r="V253" s="27">
        <v>11.429046945388126</v>
      </c>
      <c r="W253" s="15">
        <f t="shared" si="133"/>
        <v>33.572866012608614</v>
      </c>
      <c r="X253" s="27">
        <v>11.419047779206682</v>
      </c>
      <c r="Y253" s="15">
        <f t="shared" si="134"/>
        <v>33.543493426420852</v>
      </c>
      <c r="Z253" s="27">
        <v>6.9494204961021406</v>
      </c>
      <c r="AA253" s="15">
        <f t="shared" si="135"/>
        <v>20.413947400492553</v>
      </c>
      <c r="AB253" s="24">
        <v>3631.7346539728887</v>
      </c>
      <c r="AC253" s="15">
        <f t="shared" si="136"/>
        <v>10668.233450592297</v>
      </c>
      <c r="AD253" s="24">
        <v>129.95666306865539</v>
      </c>
      <c r="AE253" s="15">
        <f t="shared" si="137"/>
        <v>381.74815953575768</v>
      </c>
      <c r="AF253" s="24">
        <v>492.62642046955409</v>
      </c>
      <c r="AG253" s="15">
        <f t="shared" si="138"/>
        <v>1447.0918605657789</v>
      </c>
      <c r="AH253" s="24">
        <v>10.779351122748935</v>
      </c>
      <c r="AI253" s="15">
        <f t="shared" si="139"/>
        <v>31.664382225058965</v>
      </c>
    </row>
    <row r="254" spans="1:35" x14ac:dyDescent="0.45">
      <c r="A254" s="11" t="s">
        <v>2</v>
      </c>
      <c r="B254" s="11" t="s">
        <v>7</v>
      </c>
      <c r="C254" s="10" t="s">
        <v>6</v>
      </c>
      <c r="D254" t="s">
        <v>65</v>
      </c>
      <c r="E254" t="s">
        <v>51</v>
      </c>
      <c r="F254" t="s">
        <v>44</v>
      </c>
      <c r="G254" s="12">
        <v>1.4687517766368094</v>
      </c>
      <c r="H254" s="25">
        <v>0.10607139708571028</v>
      </c>
      <c r="I254" s="19">
        <f t="shared" si="126"/>
        <v>3115.851058399709</v>
      </c>
      <c r="J254" s="15">
        <v>88.545912380872622</v>
      </c>
      <c r="K254" s="15">
        <f t="shared" si="127"/>
        <v>260.10393224666785</v>
      </c>
      <c r="L254" s="26">
        <v>26749.26129256791</v>
      </c>
      <c r="M254" s="15">
        <f t="shared" si="128"/>
        <v>78576.050094362698</v>
      </c>
      <c r="N254" s="15">
        <v>101.53004286230156</v>
      </c>
      <c r="O254" s="15">
        <f t="shared" si="129"/>
        <v>298.24486167203361</v>
      </c>
      <c r="P254" s="27">
        <v>4.0559397247706421</v>
      </c>
      <c r="Q254" s="19">
        <f t="shared" si="130"/>
        <v>119.14337353377385</v>
      </c>
      <c r="R254" s="27">
        <v>1.0062837798165136</v>
      </c>
      <c r="S254" s="19">
        <f t="shared" si="131"/>
        <v>29.559621788126165</v>
      </c>
      <c r="T254" s="27">
        <v>9.6692404298027217</v>
      </c>
      <c r="U254" s="15">
        <f t="shared" si="132"/>
        <v>28.403428120002427</v>
      </c>
      <c r="V254" s="27">
        <v>4.4581423246935641</v>
      </c>
      <c r="W254" s="15">
        <f t="shared" si="133"/>
        <v>13.095808919786856</v>
      </c>
      <c r="X254" s="27">
        <v>10.518127995489145</v>
      </c>
      <c r="Y254" s="15">
        <f t="shared" si="134"/>
        <v>30.897038360536087</v>
      </c>
      <c r="Z254" s="27">
        <v>3.6668703103540139</v>
      </c>
      <c r="AA254" s="15">
        <f t="shared" si="135"/>
        <v>10.771444566058452</v>
      </c>
      <c r="AB254" s="24">
        <v>2970.4441022280475</v>
      </c>
      <c r="AC254" s="15">
        <f t="shared" si="136"/>
        <v>8725.6901050955548</v>
      </c>
      <c r="AD254" s="24">
        <v>123.63753229732259</v>
      </c>
      <c r="AE254" s="15">
        <f t="shared" si="137"/>
        <v>363.18569044136689</v>
      </c>
      <c r="AF254" s="24">
        <v>412.82362478936523</v>
      </c>
      <c r="AG254" s="15">
        <f t="shared" si="138"/>
        <v>1212.6708646940556</v>
      </c>
      <c r="AH254" s="24">
        <v>12.782863508706232</v>
      </c>
      <c r="AI254" s="15">
        <f t="shared" si="139"/>
        <v>37.54970697783623</v>
      </c>
    </row>
    <row r="255" spans="1:35" x14ac:dyDescent="0.45">
      <c r="A255" s="11" t="s">
        <v>2</v>
      </c>
      <c r="B255" s="11" t="s">
        <v>7</v>
      </c>
      <c r="C255" s="10" t="s">
        <v>6</v>
      </c>
      <c r="D255" t="s">
        <v>65</v>
      </c>
      <c r="E255" t="s">
        <v>52</v>
      </c>
      <c r="F255" t="s">
        <v>44</v>
      </c>
      <c r="G255" s="12">
        <v>1.4687517766368094</v>
      </c>
      <c r="H255" s="25">
        <v>0.14493594002042223</v>
      </c>
      <c r="I255" s="19">
        <f t="shared" si="126"/>
        <v>4257.498388070424</v>
      </c>
      <c r="J255" s="15">
        <v>148.08337936099571</v>
      </c>
      <c r="K255" s="15">
        <f t="shared" si="127"/>
        <v>434.99545305369014</v>
      </c>
      <c r="L255" s="26">
        <v>29826.723218810486</v>
      </c>
      <c r="M255" s="15">
        <f t="shared" si="128"/>
        <v>87616.105437764549</v>
      </c>
      <c r="N255" s="15">
        <v>121.82746103457799</v>
      </c>
      <c r="O255" s="15">
        <f t="shared" si="129"/>
        <v>357.86859967537617</v>
      </c>
      <c r="P255" s="27">
        <v>4.3903361222989439</v>
      </c>
      <c r="Q255" s="19">
        <f t="shared" si="130"/>
        <v>128.96627959318667</v>
      </c>
      <c r="R255" s="27">
        <v>1.3469181077778964</v>
      </c>
      <c r="S255" s="19">
        <f t="shared" si="131"/>
        <v>39.5657672756615</v>
      </c>
      <c r="T255" s="27">
        <v>14.520046604556569</v>
      </c>
      <c r="U255" s="15">
        <f t="shared" si="132"/>
        <v>42.652688494583465</v>
      </c>
      <c r="V255" s="27">
        <v>6.3893225309642725</v>
      </c>
      <c r="W255" s="15">
        <f t="shared" si="133"/>
        <v>18.768657637718739</v>
      </c>
      <c r="X255" s="27">
        <v>15.653840200862465</v>
      </c>
      <c r="Y255" s="15">
        <f t="shared" si="134"/>
        <v>45.983211212410907</v>
      </c>
      <c r="Z255" s="27">
        <v>9.5440505306278798</v>
      </c>
      <c r="AA255" s="15">
        <f t="shared" si="135"/>
        <v>28.035682346342362</v>
      </c>
      <c r="AB255" s="24">
        <v>3166.7998259205497</v>
      </c>
      <c r="AC255" s="15">
        <f t="shared" si="136"/>
        <v>9302.4857411478915</v>
      </c>
      <c r="AD255" s="24">
        <v>155.16197494179792</v>
      </c>
      <c r="AE255" s="15">
        <f t="shared" si="137"/>
        <v>455.7888527244836</v>
      </c>
      <c r="AF255" s="24">
        <v>464.5512141329732</v>
      </c>
      <c r="AG255" s="15">
        <f t="shared" si="138"/>
        <v>1364.6208421931824</v>
      </c>
      <c r="AH255" s="24">
        <v>7.1131483693197719</v>
      </c>
      <c r="AI255" s="15">
        <f t="shared" si="139"/>
        <v>20.894898609839274</v>
      </c>
    </row>
    <row r="256" spans="1:35" x14ac:dyDescent="0.45">
      <c r="A256" s="11" t="s">
        <v>2</v>
      </c>
      <c r="B256" s="11" t="s">
        <v>7</v>
      </c>
      <c r="C256" s="10" t="s">
        <v>6</v>
      </c>
      <c r="D256" t="s">
        <v>65</v>
      </c>
      <c r="E256" t="s">
        <v>53</v>
      </c>
      <c r="F256" t="s">
        <v>44</v>
      </c>
      <c r="G256" s="12">
        <v>1.4687517766368094</v>
      </c>
      <c r="H256" s="25">
        <v>0.11185508602630194</v>
      </c>
      <c r="I256" s="19">
        <f t="shared" si="126"/>
        <v>3285.7471265398822</v>
      </c>
      <c r="J256" s="15">
        <v>85.714063643248878</v>
      </c>
      <c r="K256" s="15">
        <f t="shared" si="127"/>
        <v>251.78536651756468</v>
      </c>
      <c r="L256" s="26">
        <v>29549.825593905432</v>
      </c>
      <c r="M256" s="15">
        <f t="shared" si="128"/>
        <v>86802.717680712914</v>
      </c>
      <c r="N256" s="15">
        <v>105.67487298482739</v>
      </c>
      <c r="O256" s="15">
        <f t="shared" si="129"/>
        <v>310.42031488466876</v>
      </c>
      <c r="P256" s="27">
        <v>3.5073783884978051</v>
      </c>
      <c r="Q256" s="19">
        <f t="shared" si="130"/>
        <v>103.02936478887401</v>
      </c>
      <c r="R256" s="27">
        <v>1.1182945586514743</v>
      </c>
      <c r="S256" s="19">
        <f t="shared" si="131"/>
        <v>32.84994239645259</v>
      </c>
      <c r="T256" s="27">
        <v>12.552948403674375</v>
      </c>
      <c r="U256" s="15">
        <f t="shared" si="132"/>
        <v>36.874330539853879</v>
      </c>
      <c r="V256" s="27">
        <v>10.475611666930439</v>
      </c>
      <c r="W256" s="15">
        <f t="shared" si="133"/>
        <v>30.77214649432274</v>
      </c>
      <c r="X256" s="27">
        <v>11.119981453121239</v>
      </c>
      <c r="Y256" s="15">
        <f t="shared" si="134"/>
        <v>32.664985030880374</v>
      </c>
      <c r="Z256" s="27">
        <v>4.722310004512579</v>
      </c>
      <c r="AA256" s="15">
        <f t="shared" si="135"/>
        <v>13.871802417915259</v>
      </c>
      <c r="AB256" s="24">
        <v>3030.3436466954281</v>
      </c>
      <c r="AC256" s="15">
        <f t="shared" si="136"/>
        <v>8901.6452298079548</v>
      </c>
      <c r="AD256" s="24">
        <v>112.41597399031427</v>
      </c>
      <c r="AE256" s="15">
        <f t="shared" si="137"/>
        <v>330.22232304126288</v>
      </c>
      <c r="AF256" s="24">
        <v>509.29323868655428</v>
      </c>
      <c r="AG256" s="15">
        <f t="shared" si="138"/>
        <v>1496.0506982999823</v>
      </c>
      <c r="AH256" s="24">
        <v>14.662953129171427</v>
      </c>
      <c r="AI256" s="15">
        <f t="shared" si="139"/>
        <v>43.072476918425593</v>
      </c>
    </row>
    <row r="257" spans="1:35" x14ac:dyDescent="0.45">
      <c r="A257" s="11" t="s">
        <v>2</v>
      </c>
      <c r="B257" s="11" t="s">
        <v>7</v>
      </c>
      <c r="C257" s="10" t="s">
        <v>6</v>
      </c>
      <c r="D257" t="s">
        <v>65</v>
      </c>
      <c r="E257" t="s">
        <v>54</v>
      </c>
      <c r="F257" t="s">
        <v>44</v>
      </c>
      <c r="G257" s="12">
        <v>1.4687517766368094</v>
      </c>
      <c r="H257" s="25">
        <v>0.10743196073847097</v>
      </c>
      <c r="I257" s="19">
        <f t="shared" si="126"/>
        <v>3155.8176640441034</v>
      </c>
      <c r="J257" s="15">
        <v>65.53230285917769</v>
      </c>
      <c r="K257" s="15">
        <f t="shared" si="127"/>
        <v>192.5013725030374</v>
      </c>
      <c r="L257" s="26">
        <v>29084.037684300769</v>
      </c>
      <c r="M257" s="15">
        <f t="shared" si="128"/>
        <v>85434.464041177343</v>
      </c>
      <c r="N257" s="15">
        <v>100.67551506104112</v>
      </c>
      <c r="O257" s="15">
        <f t="shared" si="129"/>
        <v>295.73468321946001</v>
      </c>
      <c r="P257" s="27">
        <v>3.6833815110332901</v>
      </c>
      <c r="Q257" s="19">
        <f t="shared" si="130"/>
        <v>108.19946276722641</v>
      </c>
      <c r="R257" s="27">
        <v>0.99246668491730328</v>
      </c>
      <c r="S257" s="19">
        <f t="shared" si="131"/>
        <v>29.153744134502674</v>
      </c>
      <c r="T257" s="27">
        <v>9.6336313519669279</v>
      </c>
      <c r="U257" s="15">
        <f t="shared" si="132"/>
        <v>28.298826327330985</v>
      </c>
      <c r="V257" s="27">
        <v>10.909118277821223</v>
      </c>
      <c r="W257" s="15">
        <f t="shared" si="133"/>
        <v>32.045573704182019</v>
      </c>
      <c r="X257" s="27">
        <v>12.188958969632651</v>
      </c>
      <c r="Y257" s="15">
        <f t="shared" si="134"/>
        <v>35.805110284002261</v>
      </c>
      <c r="Z257" s="27">
        <v>3.9918840625546932</v>
      </c>
      <c r="AA257" s="15">
        <f t="shared" si="135"/>
        <v>11.726173618010739</v>
      </c>
      <c r="AB257" s="24">
        <v>2827.4675381169013</v>
      </c>
      <c r="AC257" s="15">
        <f t="shared" si="136"/>
        <v>8305.695939984209</v>
      </c>
      <c r="AD257" s="24">
        <v>131.83042801240944</v>
      </c>
      <c r="AE257" s="15">
        <f t="shared" si="137"/>
        <v>387.2523507160347</v>
      </c>
      <c r="AF257" s="24">
        <v>523.38647539255089</v>
      </c>
      <c r="AG257" s="15">
        <f t="shared" si="138"/>
        <v>1537.4496312009737</v>
      </c>
      <c r="AH257" s="24">
        <v>13.183042801240946</v>
      </c>
      <c r="AI257" s="15">
        <f t="shared" si="139"/>
        <v>38.725235071603478</v>
      </c>
    </row>
    <row r="258" spans="1:35" x14ac:dyDescent="0.45">
      <c r="A258" s="11" t="s">
        <v>2</v>
      </c>
      <c r="B258" s="11" t="s">
        <v>7</v>
      </c>
      <c r="C258" s="10" t="s">
        <v>6</v>
      </c>
      <c r="D258" t="s">
        <v>65</v>
      </c>
      <c r="E258" t="s">
        <v>55</v>
      </c>
      <c r="F258" t="s">
        <v>44</v>
      </c>
      <c r="G258" s="12">
        <v>1.4687517766368094</v>
      </c>
      <c r="H258" s="25">
        <v>0.13588484356791958</v>
      </c>
      <c r="I258" s="19">
        <f t="shared" si="126"/>
        <v>3991.6221081679364</v>
      </c>
      <c r="J258" s="15">
        <v>114.89011799086771</v>
      </c>
      <c r="K258" s="15">
        <f t="shared" si="127"/>
        <v>337.49012983419919</v>
      </c>
      <c r="L258" s="26">
        <v>32227.65174150611</v>
      </c>
      <c r="M258" s="15">
        <f t="shared" si="128"/>
        <v>94668.841504338925</v>
      </c>
      <c r="N258" s="15">
        <v>119.7583433294638</v>
      </c>
      <c r="O258" s="15">
        <f t="shared" si="129"/>
        <v>351.79055906446189</v>
      </c>
      <c r="P258" s="27">
        <v>3.9820291762791409</v>
      </c>
      <c r="Q258" s="19">
        <f t="shared" si="130"/>
        <v>116.97224854559198</v>
      </c>
      <c r="R258" s="27">
        <v>1.2141587669274898</v>
      </c>
      <c r="S258" s="19">
        <f t="shared" si="131"/>
        <v>35.665956920878173</v>
      </c>
      <c r="T258" s="27">
        <v>19.629258466628389</v>
      </c>
      <c r="U258" s="15">
        <f t="shared" si="132"/>
        <v>57.661016493847157</v>
      </c>
      <c r="V258" s="27">
        <v>6.7511477293479425</v>
      </c>
      <c r="W258" s="15">
        <f t="shared" si="133"/>
        <v>19.831520443634705</v>
      </c>
      <c r="X258" s="27">
        <v>12.365868308819913</v>
      </c>
      <c r="Y258" s="15">
        <f t="shared" si="134"/>
        <v>36.324782096472127</v>
      </c>
      <c r="Z258" s="27">
        <v>7.2712076114945745</v>
      </c>
      <c r="AA258" s="15">
        <f t="shared" si="135"/>
        <v>21.359198195355493</v>
      </c>
      <c r="AB258" s="24">
        <v>3316.9015882565018</v>
      </c>
      <c r="AC258" s="15">
        <f t="shared" si="136"/>
        <v>9743.4102013623833</v>
      </c>
      <c r="AD258" s="24">
        <v>142.69374699259757</v>
      </c>
      <c r="AE258" s="15">
        <f t="shared" si="137"/>
        <v>419.16338882068209</v>
      </c>
      <c r="AF258" s="24">
        <v>543.5952266384669</v>
      </c>
      <c r="AG258" s="15">
        <f t="shared" si="138"/>
        <v>1596.8129097930746</v>
      </c>
      <c r="AH258" s="24">
        <v>9.3090682561837443</v>
      </c>
      <c r="AI258" s="15">
        <f t="shared" si="139"/>
        <v>27.345421080206396</v>
      </c>
    </row>
    <row r="259" spans="1:35" x14ac:dyDescent="0.45">
      <c r="A259" s="11" t="s">
        <v>2</v>
      </c>
      <c r="B259" s="11" t="s">
        <v>7</v>
      </c>
      <c r="C259" s="10" t="s">
        <v>6</v>
      </c>
      <c r="D259" t="s">
        <v>65</v>
      </c>
      <c r="E259" t="s">
        <v>56</v>
      </c>
      <c r="F259" t="s">
        <v>44</v>
      </c>
      <c r="G259" s="12">
        <v>1.4687517766368094</v>
      </c>
      <c r="H259" s="25">
        <v>0.10678471021564617</v>
      </c>
      <c r="I259" s="19">
        <f t="shared" si="126"/>
        <v>3136.8046569375438</v>
      </c>
      <c r="J259" s="15">
        <v>118.19980787704132</v>
      </c>
      <c r="K259" s="15">
        <f t="shared" si="127"/>
        <v>347.21235563506792</v>
      </c>
      <c r="L259" s="26">
        <v>30394.236311239194</v>
      </c>
      <c r="M259" s="15">
        <f t="shared" si="128"/>
        <v>89283.177163303175</v>
      </c>
      <c r="N259" s="15">
        <v>117.20653218059557</v>
      </c>
      <c r="O259" s="15">
        <f t="shared" si="129"/>
        <v>344.29460474737823</v>
      </c>
      <c r="P259" s="27">
        <v>4.5806199999999997</v>
      </c>
      <c r="Q259" s="19">
        <f t="shared" si="130"/>
        <v>134.55587526196203</v>
      </c>
      <c r="R259" s="27">
        <v>0.97196000000000005</v>
      </c>
      <c r="S259" s="19">
        <f t="shared" si="131"/>
        <v>28.551359536398266</v>
      </c>
      <c r="T259" s="27">
        <v>12.686427795874053</v>
      </c>
      <c r="U259" s="15">
        <f t="shared" si="132"/>
        <v>37.266426728729236</v>
      </c>
      <c r="V259" s="27">
        <v>5.3639552795031058</v>
      </c>
      <c r="W259" s="15">
        <f t="shared" si="133"/>
        <v>15.75663769314116</v>
      </c>
      <c r="X259" s="27">
        <v>12.402862111801241</v>
      </c>
      <c r="Y259" s="15">
        <f t="shared" si="134"/>
        <v>36.433451524178885</v>
      </c>
      <c r="Z259" s="27">
        <v>7.8301416149068324</v>
      </c>
      <c r="AA259" s="15">
        <f t="shared" si="135"/>
        <v>23.001068816424453</v>
      </c>
      <c r="AB259" s="24">
        <v>3329.6788461538463</v>
      </c>
      <c r="AC259" s="15">
        <f t="shared" si="136"/>
        <v>9780.9434418369256</v>
      </c>
      <c r="AD259" s="24">
        <v>144.16346153846155</v>
      </c>
      <c r="AE259" s="15">
        <f t="shared" si="137"/>
        <v>423.48068052145544</v>
      </c>
      <c r="AF259" s="24">
        <v>533.90192307692303</v>
      </c>
      <c r="AG259" s="15">
        <f t="shared" si="138"/>
        <v>1568.3387961380797</v>
      </c>
      <c r="AH259" s="24">
        <v>13.819807692307693</v>
      </c>
      <c r="AI259" s="15">
        <f t="shared" si="139"/>
        <v>40.595734201711934</v>
      </c>
    </row>
    <row r="260" spans="1:35" x14ac:dyDescent="0.45">
      <c r="A260" s="11" t="s">
        <v>2</v>
      </c>
      <c r="B260" s="11" t="s">
        <v>7</v>
      </c>
      <c r="C260" s="10" t="s">
        <v>6</v>
      </c>
      <c r="D260" t="s">
        <v>65</v>
      </c>
      <c r="E260" t="s">
        <v>57</v>
      </c>
      <c r="F260" t="s">
        <v>44</v>
      </c>
      <c r="G260" s="12">
        <v>1.4687517766368094</v>
      </c>
      <c r="H260" s="25">
        <v>0.11450969536529217</v>
      </c>
      <c r="I260" s="19">
        <f t="shared" si="126"/>
        <v>3363.7263701982542</v>
      </c>
      <c r="J260" s="15">
        <v>97.19469618785125</v>
      </c>
      <c r="K260" s="15">
        <f t="shared" si="127"/>
        <v>285.5097654111629</v>
      </c>
      <c r="L260" s="26">
        <v>33737.001982559937</v>
      </c>
      <c r="M260" s="15">
        <f t="shared" si="128"/>
        <v>99102.56320056894</v>
      </c>
      <c r="N260" s="15">
        <v>116.47298303502834</v>
      </c>
      <c r="O260" s="15">
        <f t="shared" si="129"/>
        <v>342.13980152577363</v>
      </c>
      <c r="P260" s="27">
        <v>3.6645934815408565</v>
      </c>
      <c r="Q260" s="19">
        <f t="shared" si="130"/>
        <v>107.64756373329608</v>
      </c>
      <c r="R260" s="27">
        <v>1.1220244086740263</v>
      </c>
      <c r="S260" s="19">
        <f t="shared" si="131"/>
        <v>32.959506873396833</v>
      </c>
      <c r="T260" s="27">
        <v>13.297845643536721</v>
      </c>
      <c r="U260" s="15">
        <f t="shared" si="132"/>
        <v>39.062468828773227</v>
      </c>
      <c r="V260" s="27">
        <v>9.2181866056107413</v>
      </c>
      <c r="W260" s="15">
        <f t="shared" si="133"/>
        <v>27.078455908720834</v>
      </c>
      <c r="X260" s="27">
        <v>9.2374111866443407</v>
      </c>
      <c r="Y260" s="15">
        <f t="shared" si="134"/>
        <v>27.134928183817227</v>
      </c>
      <c r="Z260" s="27">
        <v>3.518098329148625</v>
      </c>
      <c r="AA260" s="15">
        <f t="shared" si="135"/>
        <v>10.334426342640066</v>
      </c>
      <c r="AB260" s="24">
        <v>3190.1254636696954</v>
      </c>
      <c r="AC260" s="15">
        <f t="shared" si="136"/>
        <v>9371.0048849183804</v>
      </c>
      <c r="AD260" s="24">
        <v>117.23496624779581</v>
      </c>
      <c r="AE260" s="15">
        <f t="shared" si="137"/>
        <v>344.37812992081297</v>
      </c>
      <c r="AF260" s="24">
        <v>572.83101394248183</v>
      </c>
      <c r="AG260" s="15">
        <f t="shared" si="138"/>
        <v>1682.6931388813703</v>
      </c>
      <c r="AH260" s="24">
        <v>13.534443257875612</v>
      </c>
      <c r="AI260" s="15">
        <f t="shared" si="139"/>
        <v>39.757475161589781</v>
      </c>
    </row>
    <row r="261" spans="1:35" x14ac:dyDescent="0.45">
      <c r="A261" s="11" t="s">
        <v>2</v>
      </c>
      <c r="B261" s="11" t="s">
        <v>7</v>
      </c>
      <c r="C261" s="10" t="s">
        <v>6</v>
      </c>
      <c r="D261" t="s">
        <v>65</v>
      </c>
      <c r="E261" t="s">
        <v>51</v>
      </c>
      <c r="F261" t="s">
        <v>45</v>
      </c>
      <c r="G261" s="12">
        <v>1.4687517766368094</v>
      </c>
      <c r="H261" s="25">
        <v>1.6756331249137011</v>
      </c>
      <c r="I261" s="19">
        <f t="shared" si="126"/>
        <v>49221.782584169741</v>
      </c>
      <c r="J261" s="15">
        <v>100.3733551459822</v>
      </c>
      <c r="K261" s="15">
        <f t="shared" si="127"/>
        <v>294.84708739531754</v>
      </c>
      <c r="L261" s="26">
        <v>27766.83469458947</v>
      </c>
      <c r="M261" s="15">
        <f t="shared" si="128"/>
        <v>81565.175578517767</v>
      </c>
      <c r="N261" s="15">
        <v>95.683011447571815</v>
      </c>
      <c r="O261" s="15">
        <f t="shared" si="129"/>
        <v>281.06918611516255</v>
      </c>
      <c r="P261" s="27">
        <v>4.2394609586821934</v>
      </c>
      <c r="Q261" s="19">
        <f t="shared" si="130"/>
        <v>124.53431630093726</v>
      </c>
      <c r="R261" s="27">
        <v>0.97047901463809227</v>
      </c>
      <c r="S261" s="19">
        <f t="shared" si="131"/>
        <v>28.507855538768762</v>
      </c>
      <c r="T261" s="27">
        <v>16.89732618708916</v>
      </c>
      <c r="U261" s="15">
        <f t="shared" si="132"/>
        <v>49.635955715397778</v>
      </c>
      <c r="V261" s="27">
        <v>5.0976094184701646</v>
      </c>
      <c r="W261" s="15">
        <f t="shared" si="133"/>
        <v>14.974245779957174</v>
      </c>
      <c r="X261" s="27">
        <v>15.150380088028093</v>
      </c>
      <c r="Y261" s="15">
        <f t="shared" si="134"/>
        <v>44.504295342028399</v>
      </c>
      <c r="Z261" s="27">
        <v>3.4391057553750812</v>
      </c>
      <c r="AA261" s="15">
        <f t="shared" si="135"/>
        <v>10.102385376498052</v>
      </c>
      <c r="AB261" s="24">
        <v>2838.603823517461</v>
      </c>
      <c r="AC261" s="15">
        <f t="shared" si="136"/>
        <v>8338.4088179186219</v>
      </c>
      <c r="AD261" s="24">
        <v>143.77466883527293</v>
      </c>
      <c r="AE261" s="15">
        <f t="shared" si="137"/>
        <v>422.33860057435203</v>
      </c>
      <c r="AF261" s="24">
        <v>454.97115598530445</v>
      </c>
      <c r="AG261" s="15">
        <f t="shared" si="138"/>
        <v>1336.4793873438377</v>
      </c>
      <c r="AH261" s="24">
        <v>7.7468061694795072</v>
      </c>
      <c r="AI261" s="15">
        <f t="shared" si="139"/>
        <v>22.756270649368044</v>
      </c>
    </row>
    <row r="262" spans="1:35" x14ac:dyDescent="0.45">
      <c r="A262" s="11" t="s">
        <v>2</v>
      </c>
      <c r="B262" s="11" t="s">
        <v>7</v>
      </c>
      <c r="C262" s="10" t="s">
        <v>6</v>
      </c>
      <c r="D262" t="s">
        <v>65</v>
      </c>
      <c r="E262" t="s">
        <v>52</v>
      </c>
      <c r="F262" t="s">
        <v>45</v>
      </c>
      <c r="G262" s="12">
        <v>1.4687517766368094</v>
      </c>
      <c r="H262" s="25">
        <v>0.1238887654550118</v>
      </c>
      <c r="I262" s="19">
        <f t="shared" si="126"/>
        <v>3639.2368873477917</v>
      </c>
      <c r="J262" s="15">
        <v>104.9645273239915</v>
      </c>
      <c r="K262" s="15">
        <f t="shared" si="127"/>
        <v>308.33367198191087</v>
      </c>
      <c r="L262" s="26">
        <v>28463.353805875176</v>
      </c>
      <c r="M262" s="15">
        <f t="shared" si="128"/>
        <v>83611.202942842516</v>
      </c>
      <c r="N262" s="15">
        <v>102.12764820712685</v>
      </c>
      <c r="O262" s="15">
        <f t="shared" si="129"/>
        <v>300.00032949591326</v>
      </c>
      <c r="P262" s="27">
        <v>3.7305679062812893</v>
      </c>
      <c r="Q262" s="19">
        <f t="shared" si="130"/>
        <v>109.58556480429812</v>
      </c>
      <c r="R262" s="27">
        <v>1.1335979825716627</v>
      </c>
      <c r="S262" s="19">
        <f t="shared" si="131"/>
        <v>33.299481017880652</v>
      </c>
      <c r="T262" s="27">
        <v>11.978130216080267</v>
      </c>
      <c r="U262" s="15">
        <f t="shared" si="132"/>
        <v>35.185800071309878</v>
      </c>
      <c r="V262" s="27">
        <v>6.5066536452675638</v>
      </c>
      <c r="W262" s="15">
        <f t="shared" si="133"/>
        <v>19.113318202894209</v>
      </c>
      <c r="X262" s="27">
        <v>8.8662093627821772</v>
      </c>
      <c r="Y262" s="15">
        <f t="shared" si="134"/>
        <v>26.044521507240471</v>
      </c>
      <c r="Z262" s="27">
        <v>4.4228901544754411</v>
      </c>
      <c r="AA262" s="15">
        <f t="shared" si="135"/>
        <v>12.992255544510511</v>
      </c>
      <c r="AB262" s="24">
        <v>3090.6399542316567</v>
      </c>
      <c r="AC262" s="15">
        <f t="shared" si="136"/>
        <v>9078.7658474449054</v>
      </c>
      <c r="AD262" s="24">
        <v>100.08164006970097</v>
      </c>
      <c r="AE262" s="15">
        <f t="shared" si="137"/>
        <v>293.99017332219796</v>
      </c>
      <c r="AF262" s="24">
        <v>530.13542017118823</v>
      </c>
      <c r="AG262" s="15">
        <f t="shared" si="138"/>
        <v>1557.2746804690682</v>
      </c>
      <c r="AH262" s="24">
        <v>11.989978661815661</v>
      </c>
      <c r="AI262" s="15">
        <f t="shared" si="139"/>
        <v>35.220604922758369</v>
      </c>
    </row>
    <row r="263" spans="1:35" x14ac:dyDescent="0.45">
      <c r="A263" s="11" t="s">
        <v>2</v>
      </c>
      <c r="B263" s="11" t="s">
        <v>7</v>
      </c>
      <c r="C263" s="10" t="s">
        <v>6</v>
      </c>
      <c r="D263" t="s">
        <v>65</v>
      </c>
      <c r="E263" t="s">
        <v>53</v>
      </c>
      <c r="F263" t="s">
        <v>45</v>
      </c>
      <c r="G263" s="12">
        <v>1.4687517766368094</v>
      </c>
      <c r="H263" s="25">
        <v>0.10874656043051557</v>
      </c>
      <c r="I263" s="19">
        <f t="shared" si="126"/>
        <v>3194.4340767092381</v>
      </c>
      <c r="J263" s="15">
        <v>99.249452115411671</v>
      </c>
      <c r="K263" s="15">
        <f t="shared" si="127"/>
        <v>291.54561824948166</v>
      </c>
      <c r="L263" s="26">
        <v>29954.563012699702</v>
      </c>
      <c r="M263" s="15">
        <f t="shared" si="128"/>
        <v>87991.635286563891</v>
      </c>
      <c r="N263" s="15">
        <v>102.84399967693565</v>
      </c>
      <c r="O263" s="15">
        <f t="shared" si="129"/>
        <v>302.1046144838694</v>
      </c>
      <c r="P263" s="27">
        <v>3.6608869337427561</v>
      </c>
      <c r="Q263" s="19">
        <f t="shared" si="130"/>
        <v>107.53868376002309</v>
      </c>
      <c r="R263" s="27">
        <v>1.0621728286633914</v>
      </c>
      <c r="S263" s="19">
        <f t="shared" si="131"/>
        <v>31.20136458389403</v>
      </c>
      <c r="T263" s="27">
        <v>14.8996199819273</v>
      </c>
      <c r="U263" s="15">
        <f t="shared" si="132"/>
        <v>43.767686639338052</v>
      </c>
      <c r="V263" s="27">
        <v>4.7037934704007673</v>
      </c>
      <c r="W263" s="15">
        <f t="shared" si="133"/>
        <v>13.8174100331675</v>
      </c>
      <c r="X263" s="27">
        <v>9.9144612371809249</v>
      </c>
      <c r="Y263" s="15">
        <f t="shared" si="134"/>
        <v>29.123765113012528</v>
      </c>
      <c r="Z263" s="27">
        <v>3.4467452153798726</v>
      </c>
      <c r="AA263" s="15">
        <f t="shared" si="135"/>
        <v>10.124826317407221</v>
      </c>
      <c r="AB263" s="24">
        <v>2716.2749812615266</v>
      </c>
      <c r="AC263" s="15">
        <f t="shared" si="136"/>
        <v>7979.0674091239662</v>
      </c>
      <c r="AD263" s="24">
        <v>99.61737402804232</v>
      </c>
      <c r="AE263" s="15">
        <f t="shared" si="137"/>
        <v>292.62639017516142</v>
      </c>
      <c r="AF263" s="24">
        <v>542.43000764751821</v>
      </c>
      <c r="AG263" s="15">
        <f t="shared" si="138"/>
        <v>1593.3900748668209</v>
      </c>
      <c r="AH263" s="24">
        <v>11.034222589027461</v>
      </c>
      <c r="AI263" s="15">
        <f t="shared" si="139"/>
        <v>32.413068062880193</v>
      </c>
    </row>
    <row r="264" spans="1:35" x14ac:dyDescent="0.45">
      <c r="A264" s="11" t="s">
        <v>2</v>
      </c>
      <c r="B264" s="11" t="s">
        <v>7</v>
      </c>
      <c r="C264" s="10" t="s">
        <v>6</v>
      </c>
      <c r="D264" t="s">
        <v>65</v>
      </c>
      <c r="E264" t="s">
        <v>54</v>
      </c>
      <c r="F264" t="s">
        <v>45</v>
      </c>
      <c r="G264" s="12">
        <v>1.4687517766368094</v>
      </c>
      <c r="H264" s="25">
        <v>0.14266268536803114</v>
      </c>
      <c r="I264" s="19">
        <f t="shared" si="126"/>
        <v>4190.7214518814781</v>
      </c>
      <c r="J264" s="15">
        <v>170.22847952486714</v>
      </c>
      <c r="K264" s="15">
        <f t="shared" si="127"/>
        <v>500.04676347266269</v>
      </c>
      <c r="L264" s="26">
        <v>30915.057201067822</v>
      </c>
      <c r="M264" s="15">
        <f t="shared" si="128"/>
        <v>90813.090377793895</v>
      </c>
      <c r="N264" s="15">
        <v>119.35560058640107</v>
      </c>
      <c r="O264" s="15">
        <f t="shared" si="129"/>
        <v>350.60750082565994</v>
      </c>
      <c r="P264" s="27">
        <v>3.9822663505290428</v>
      </c>
      <c r="Q264" s="19">
        <f t="shared" si="130"/>
        <v>116.97921554761029</v>
      </c>
      <c r="R264" s="27">
        <v>1.4946295300186123</v>
      </c>
      <c r="S264" s="19">
        <f t="shared" si="131"/>
        <v>43.904795552573525</v>
      </c>
      <c r="T264" s="27">
        <v>17.576194051226746</v>
      </c>
      <c r="U264" s="15">
        <f t="shared" si="132"/>
        <v>51.63013247850521</v>
      </c>
      <c r="V264" s="27">
        <v>5.2038718834449051</v>
      </c>
      <c r="W264" s="15">
        <f t="shared" si="133"/>
        <v>15.286392148400086</v>
      </c>
      <c r="X264" s="27">
        <v>9.6228021978785687</v>
      </c>
      <c r="Y264" s="15">
        <f t="shared" si="134"/>
        <v>28.267015648717482</v>
      </c>
      <c r="Z264" s="27">
        <v>5.0003685137012495</v>
      </c>
      <c r="AA264" s="15">
        <f t="shared" si="135"/>
        <v>14.688600276674944</v>
      </c>
      <c r="AB264" s="24">
        <v>3114.3133438408236</v>
      </c>
      <c r="AC264" s="15">
        <f t="shared" si="136"/>
        <v>9148.3065135398629</v>
      </c>
      <c r="AD264" s="24">
        <v>116.42292874171302</v>
      </c>
      <c r="AE264" s="15">
        <f t="shared" si="137"/>
        <v>341.99276686130332</v>
      </c>
      <c r="AF264" s="24">
        <v>636.31152432970737</v>
      </c>
      <c r="AG264" s="15">
        <f t="shared" si="138"/>
        <v>1869.167363707468</v>
      </c>
      <c r="AH264" s="24">
        <v>8.5410269275170503</v>
      </c>
      <c r="AI264" s="15">
        <f t="shared" si="139"/>
        <v>25.089296948186995</v>
      </c>
    </row>
    <row r="265" spans="1:35" x14ac:dyDescent="0.45">
      <c r="A265" s="11" t="s">
        <v>2</v>
      </c>
      <c r="B265" s="11" t="s">
        <v>7</v>
      </c>
      <c r="C265" s="10" t="s">
        <v>6</v>
      </c>
      <c r="D265" t="s">
        <v>65</v>
      </c>
      <c r="E265" t="s">
        <v>55</v>
      </c>
      <c r="F265" t="s">
        <v>45</v>
      </c>
      <c r="G265" s="12">
        <v>1.4687517766368094</v>
      </c>
      <c r="H265" s="25">
        <v>0.12908322768166552</v>
      </c>
      <c r="I265" s="19">
        <f t="shared" si="126"/>
        <v>3791.8243998292</v>
      </c>
      <c r="J265" s="15">
        <v>136.5622244993952</v>
      </c>
      <c r="K265" s="15">
        <f t="shared" si="127"/>
        <v>401.15201970992302</v>
      </c>
      <c r="L265" s="26">
        <v>29328.799892487565</v>
      </c>
      <c r="M265" s="15">
        <f t="shared" si="128"/>
        <v>86153.453897433152</v>
      </c>
      <c r="N265" s="15">
        <v>117.31519956995025</v>
      </c>
      <c r="O265" s="15">
        <f t="shared" si="129"/>
        <v>344.61381558973261</v>
      </c>
      <c r="P265" s="27">
        <v>4.2702732643461898</v>
      </c>
      <c r="Q265" s="19">
        <f t="shared" si="130"/>
        <v>125.43942887466268</v>
      </c>
      <c r="R265" s="27">
        <v>1.2112794355597363</v>
      </c>
      <c r="S265" s="19">
        <f t="shared" si="131"/>
        <v>35.581376459639884</v>
      </c>
      <c r="T265" s="27">
        <v>18.90227045835427</v>
      </c>
      <c r="U265" s="15">
        <f t="shared" si="132"/>
        <v>55.525486636354614</v>
      </c>
      <c r="V265" s="27">
        <v>8.3572318083037231</v>
      </c>
      <c r="W265" s="15">
        <f t="shared" si="133"/>
        <v>24.549398132423498</v>
      </c>
      <c r="X265" s="27">
        <v>15.605542628774623</v>
      </c>
      <c r="Y265" s="15">
        <f t="shared" si="134"/>
        <v>45.841336922788379</v>
      </c>
      <c r="Z265" s="27">
        <v>6.4821472288773148</v>
      </c>
      <c r="AA265" s="15">
        <f t="shared" si="135"/>
        <v>19.041330517669852</v>
      </c>
      <c r="AB265" s="24">
        <v>3287.730799268712</v>
      </c>
      <c r="AC265" s="15">
        <f t="shared" si="136"/>
        <v>9657.7209050589554</v>
      </c>
      <c r="AD265" s="24">
        <v>148.16577681534991</v>
      </c>
      <c r="AE265" s="15">
        <f t="shared" si="137"/>
        <v>435.2374958686363</v>
      </c>
      <c r="AF265" s="24">
        <v>472.58103977706378</v>
      </c>
      <c r="AG265" s="15">
        <f t="shared" si="138"/>
        <v>1388.208483554866</v>
      </c>
      <c r="AH265" s="24">
        <v>13.654493157493031</v>
      </c>
      <c r="AI265" s="15">
        <f t="shared" si="139"/>
        <v>40.11012216828609</v>
      </c>
    </row>
    <row r="266" spans="1:35" x14ac:dyDescent="0.45">
      <c r="A266" s="11" t="s">
        <v>2</v>
      </c>
      <c r="B266" s="11" t="s">
        <v>7</v>
      </c>
      <c r="C266" s="10" t="s">
        <v>6</v>
      </c>
      <c r="D266" t="s">
        <v>65</v>
      </c>
      <c r="E266" t="s">
        <v>56</v>
      </c>
      <c r="F266" t="s">
        <v>45</v>
      </c>
      <c r="G266" s="12">
        <v>1.4687517766368094</v>
      </c>
      <c r="H266" s="25">
        <v>9.9998494804156096E-2</v>
      </c>
      <c r="I266" s="19">
        <f t="shared" si="126"/>
        <v>2937.4593380922206</v>
      </c>
      <c r="J266" s="15">
        <v>74.359108118689406</v>
      </c>
      <c r="K266" s="15">
        <f t="shared" si="127"/>
        <v>218.4301443169073</v>
      </c>
      <c r="L266" s="26">
        <v>31325.31488425452</v>
      </c>
      <c r="M266" s="15">
        <f t="shared" si="128"/>
        <v>92018.223779912631</v>
      </c>
      <c r="N266" s="15">
        <v>106.81418845778592</v>
      </c>
      <c r="O266" s="15">
        <f t="shared" si="129"/>
        <v>313.76705813478412</v>
      </c>
      <c r="P266" s="27">
        <v>3.2939030777570606</v>
      </c>
      <c r="Q266" s="19">
        <f t="shared" si="130"/>
        <v>96.758519950502745</v>
      </c>
      <c r="R266" s="27">
        <v>0.96157419040112957</v>
      </c>
      <c r="S266" s="19">
        <f t="shared" si="131"/>
        <v>28.246276010395214</v>
      </c>
      <c r="T266" s="27">
        <v>12.000083335312636</v>
      </c>
      <c r="U266" s="15">
        <f t="shared" si="132"/>
        <v>35.250287437060408</v>
      </c>
      <c r="V266" s="27">
        <v>5.692249025777266</v>
      </c>
      <c r="W266" s="15">
        <f t="shared" si="133"/>
        <v>16.721001739339012</v>
      </c>
      <c r="X266" s="27">
        <v>11.464670573044353</v>
      </c>
      <c r="Y266" s="15">
        <f t="shared" si="134"/>
        <v>33.677510545429278</v>
      </c>
      <c r="Z266" s="27">
        <v>1.9642267765006061</v>
      </c>
      <c r="AA266" s="15">
        <f t="shared" si="135"/>
        <v>5.7699231354057163</v>
      </c>
      <c r="AB266" s="24">
        <v>3223.3403169330095</v>
      </c>
      <c r="AC266" s="15">
        <f t="shared" si="136"/>
        <v>9468.5736344008274</v>
      </c>
      <c r="AD266" s="24">
        <v>141.96058390637606</v>
      </c>
      <c r="AE266" s="15">
        <f t="shared" si="137"/>
        <v>417.00971964977737</v>
      </c>
      <c r="AF266" s="24">
        <v>598.11334248789319</v>
      </c>
      <c r="AG266" s="15">
        <f t="shared" si="138"/>
        <v>1756.9600688185469</v>
      </c>
      <c r="AH266" s="24">
        <v>13.778527261501205</v>
      </c>
      <c r="AI266" s="15">
        <f t="shared" si="139"/>
        <v>40.474472789537216</v>
      </c>
    </row>
    <row r="267" spans="1:35" x14ac:dyDescent="0.45">
      <c r="A267" s="11" t="s">
        <v>2</v>
      </c>
      <c r="B267" s="11" t="s">
        <v>7</v>
      </c>
      <c r="C267" s="10" t="s">
        <v>6</v>
      </c>
      <c r="D267" t="s">
        <v>65</v>
      </c>
      <c r="E267" t="s">
        <v>57</v>
      </c>
      <c r="F267" t="s">
        <v>45</v>
      </c>
      <c r="G267" s="12">
        <v>1.4687517766368094</v>
      </c>
      <c r="H267" s="25">
        <v>0.12144011460625513</v>
      </c>
      <c r="I267" s="19">
        <f t="shared" si="126"/>
        <v>3567.3076816582998</v>
      </c>
      <c r="J267" s="15">
        <v>100.02865643086658</v>
      </c>
      <c r="K267" s="15">
        <f t="shared" si="127"/>
        <v>293.83453369485659</v>
      </c>
      <c r="L267" s="26">
        <v>31162.773734231512</v>
      </c>
      <c r="M267" s="15">
        <f t="shared" si="128"/>
        <v>91540.758574166859</v>
      </c>
      <c r="N267" s="15">
        <v>109.64679647229607</v>
      </c>
      <c r="O267" s="15">
        <f t="shared" si="129"/>
        <v>322.08785424243899</v>
      </c>
      <c r="P267" s="27">
        <v>3.7185268302573</v>
      </c>
      <c r="Q267" s="19">
        <f t="shared" si="130"/>
        <v>109.23185776824106</v>
      </c>
      <c r="R267" s="27">
        <v>1.1402112656313821</v>
      </c>
      <c r="S267" s="19">
        <f t="shared" si="131"/>
        <v>33.493746442747948</v>
      </c>
      <c r="T267" s="27">
        <v>11.200634229248124</v>
      </c>
      <c r="U267" s="15">
        <f t="shared" si="132"/>
        <v>32.901902847334483</v>
      </c>
      <c r="V267" s="27">
        <v>7.4347853862385778</v>
      </c>
      <c r="W267" s="15">
        <f t="shared" si="133"/>
        <v>21.839708489902598</v>
      </c>
      <c r="X267" s="27">
        <v>14.307104202679188</v>
      </c>
      <c r="Y267" s="15">
        <f t="shared" si="134"/>
        <v>42.027169432426035</v>
      </c>
      <c r="Z267" s="27">
        <v>4.6940391915866675</v>
      </c>
      <c r="AA267" s="15">
        <f t="shared" si="135"/>
        <v>13.788756804491459</v>
      </c>
      <c r="AB267" s="24">
        <v>3208.151984463339</v>
      </c>
      <c r="AC267" s="15">
        <f t="shared" si="136"/>
        <v>9423.9578538028691</v>
      </c>
      <c r="AD267" s="24">
        <v>186.42092764743984</v>
      </c>
      <c r="AE267" s="15">
        <f t="shared" si="137"/>
        <v>547.61213736891864</v>
      </c>
      <c r="AF267" s="24">
        <v>551.65376548732195</v>
      </c>
      <c r="AG267" s="15">
        <f t="shared" si="138"/>
        <v>1620.4848962957797</v>
      </c>
      <c r="AH267" s="24">
        <v>13.791344137183048</v>
      </c>
      <c r="AI267" s="15">
        <f t="shared" si="139"/>
        <v>40.512122407394493</v>
      </c>
    </row>
    <row r="268" spans="1:35" x14ac:dyDescent="0.45">
      <c r="A268" s="11" t="s">
        <v>2</v>
      </c>
      <c r="B268" s="11" t="s">
        <v>7</v>
      </c>
      <c r="C268" s="10" t="s">
        <v>6</v>
      </c>
      <c r="D268" t="s">
        <v>65</v>
      </c>
      <c r="E268" t="s">
        <v>51</v>
      </c>
      <c r="F268" t="s">
        <v>46</v>
      </c>
      <c r="G268" s="12">
        <v>1.4687517766368094</v>
      </c>
      <c r="H268" s="25">
        <v>9.3847683689111616E-2</v>
      </c>
      <c r="I268" s="19">
        <f t="shared" si="126"/>
        <v>2756.7790430326404</v>
      </c>
      <c r="J268" s="15">
        <v>67.092213243801268</v>
      </c>
      <c r="K268" s="15">
        <f t="shared" si="127"/>
        <v>197.08361480065756</v>
      </c>
      <c r="L268" s="26">
        <v>29512.703772933106</v>
      </c>
      <c r="M268" s="15">
        <f t="shared" si="128"/>
        <v>86693.672199702734</v>
      </c>
      <c r="N268" s="15">
        <v>92.473138488523745</v>
      </c>
      <c r="O268" s="15">
        <f t="shared" si="129"/>
        <v>271.64017289240195</v>
      </c>
      <c r="P268" s="27">
        <v>3.5808747244492172</v>
      </c>
      <c r="Q268" s="19">
        <f t="shared" si="130"/>
        <v>105.18832226897266</v>
      </c>
      <c r="R268" s="27">
        <v>0.93102742835679642</v>
      </c>
      <c r="S268" s="19">
        <f t="shared" si="131"/>
        <v>27.348963789932892</v>
      </c>
      <c r="T268" s="27">
        <v>10.338015630565188</v>
      </c>
      <c r="U268" s="15">
        <f t="shared" si="132"/>
        <v>30.367957648583449</v>
      </c>
      <c r="V268" s="27">
        <v>6.4089046861580732</v>
      </c>
      <c r="W268" s="15">
        <f t="shared" si="133"/>
        <v>18.826180288181288</v>
      </c>
      <c r="X268" s="27">
        <v>6.4089046861580732</v>
      </c>
      <c r="Y268" s="15">
        <f t="shared" si="134"/>
        <v>18.826180288181288</v>
      </c>
      <c r="Z268" s="27">
        <v>0.48369091971004319</v>
      </c>
      <c r="AA268" s="15">
        <f t="shared" si="135"/>
        <v>1.4208437953344364</v>
      </c>
      <c r="AB268" s="24">
        <v>2898.8033483636518</v>
      </c>
      <c r="AC268" s="15">
        <f t="shared" si="136"/>
        <v>8515.2451360596897</v>
      </c>
      <c r="AD268" s="24">
        <v>91.227046551444332</v>
      </c>
      <c r="AE268" s="15">
        <f t="shared" si="137"/>
        <v>267.97977339952553</v>
      </c>
      <c r="AF268" s="24">
        <v>573.12942018300964</v>
      </c>
      <c r="AG268" s="15">
        <f t="shared" si="138"/>
        <v>1683.5697082732397</v>
      </c>
      <c r="AH268" s="24">
        <v>13.641427521711302</v>
      </c>
      <c r="AI268" s="15">
        <f t="shared" si="139"/>
        <v>40.071741816751484</v>
      </c>
    </row>
    <row r="269" spans="1:35" x14ac:dyDescent="0.45">
      <c r="A269" s="11" t="s">
        <v>2</v>
      </c>
      <c r="B269" s="11" t="s">
        <v>7</v>
      </c>
      <c r="C269" s="10" t="s">
        <v>6</v>
      </c>
      <c r="D269" t="s">
        <v>65</v>
      </c>
      <c r="E269" t="s">
        <v>52</v>
      </c>
      <c r="F269" t="s">
        <v>46</v>
      </c>
      <c r="G269" s="12">
        <v>1.4687517766368094</v>
      </c>
      <c r="H269" s="25">
        <v>0.10563140687305883</v>
      </c>
      <c r="I269" s="19">
        <f t="shared" si="126"/>
        <v>3102.9263302690165</v>
      </c>
      <c r="J269" s="15">
        <v>118.43229123704255</v>
      </c>
      <c r="K269" s="15">
        <f t="shared" si="127"/>
        <v>347.89527633114858</v>
      </c>
      <c r="L269" s="26">
        <v>27315.834914350136</v>
      </c>
      <c r="M269" s="15">
        <f t="shared" si="128"/>
        <v>80240.362121539089</v>
      </c>
      <c r="N269" s="15">
        <v>96.465011410816928</v>
      </c>
      <c r="O269" s="15">
        <f t="shared" si="129"/>
        <v>283.36631378585486</v>
      </c>
      <c r="P269" s="27">
        <v>3.7978026666666671</v>
      </c>
      <c r="Q269" s="19">
        <f t="shared" si="130"/>
        <v>111.5605882796536</v>
      </c>
      <c r="R269" s="27">
        <v>1.0806755555555556</v>
      </c>
      <c r="S269" s="19">
        <f t="shared" si="131"/>
        <v>31.744882843803865</v>
      </c>
      <c r="T269" s="27">
        <v>12.475635231506315</v>
      </c>
      <c r="U269" s="15">
        <f t="shared" si="132"/>
        <v>36.647222821895348</v>
      </c>
      <c r="V269" s="27">
        <v>6.5987935495303933</v>
      </c>
      <c r="W269" s="15">
        <f t="shared" si="133"/>
        <v>19.383979499064566</v>
      </c>
      <c r="X269" s="27">
        <v>8.5685826687931961</v>
      </c>
      <c r="Y269" s="15">
        <f t="shared" si="134"/>
        <v>25.17024203609876</v>
      </c>
      <c r="Z269" s="27">
        <v>1.6743207513733833</v>
      </c>
      <c r="AA269" s="15">
        <f t="shared" si="135"/>
        <v>4.9183231564790688</v>
      </c>
      <c r="AB269" s="24">
        <v>2852.5394916485111</v>
      </c>
      <c r="AC269" s="15">
        <f t="shared" si="136"/>
        <v>8379.3448925708235</v>
      </c>
      <c r="AD269" s="24">
        <v>98.179021060275957</v>
      </c>
      <c r="AE269" s="15">
        <f t="shared" si="137"/>
        <v>288.40122322148608</v>
      </c>
      <c r="AF269" s="24">
        <v>508.55320261437907</v>
      </c>
      <c r="AG269" s="15">
        <f t="shared" si="138"/>
        <v>1493.8768397084173</v>
      </c>
      <c r="AH269" s="24">
        <v>12.814733478576615</v>
      </c>
      <c r="AI269" s="15">
        <f t="shared" si="139"/>
        <v>37.643325127573206</v>
      </c>
    </row>
    <row r="270" spans="1:35" x14ac:dyDescent="0.45">
      <c r="A270" s="11" t="s">
        <v>2</v>
      </c>
      <c r="B270" s="11" t="s">
        <v>7</v>
      </c>
      <c r="C270" s="10" t="s">
        <v>6</v>
      </c>
      <c r="D270" t="s">
        <v>65</v>
      </c>
      <c r="E270" t="s">
        <v>53</v>
      </c>
      <c r="F270" t="s">
        <v>46</v>
      </c>
      <c r="G270" s="12">
        <v>1.4687517766368094</v>
      </c>
      <c r="H270" s="25">
        <v>0.11518225417398278</v>
      </c>
      <c r="I270" s="19">
        <f t="shared" si="126"/>
        <v>3383.4828091013951</v>
      </c>
      <c r="J270" s="15">
        <v>135.67658230958978</v>
      </c>
      <c r="K270" s="15">
        <f t="shared" si="127"/>
        <v>398.55044263044056</v>
      </c>
      <c r="L270" s="26">
        <v>28257.453608839376</v>
      </c>
      <c r="M270" s="15">
        <f t="shared" si="128"/>
        <v>83006.370382430105</v>
      </c>
      <c r="N270" s="15">
        <v>99.156118800692681</v>
      </c>
      <c r="O270" s="15">
        <f t="shared" si="129"/>
        <v>291.27145130585581</v>
      </c>
      <c r="P270" s="27">
        <v>3.5811476856978559</v>
      </c>
      <c r="Q270" s="19">
        <f t="shared" si="130"/>
        <v>105.19634051535047</v>
      </c>
      <c r="R270" s="27">
        <v>1.1255035583621835</v>
      </c>
      <c r="S270" s="19">
        <f t="shared" si="131"/>
        <v>33.061707019110159</v>
      </c>
      <c r="T270" s="27">
        <v>13.936303154554498</v>
      </c>
      <c r="U270" s="15">
        <f t="shared" si="132"/>
        <v>40.937940036002182</v>
      </c>
      <c r="V270" s="27">
        <v>4.5589779580378247</v>
      </c>
      <c r="W270" s="15">
        <f t="shared" si="133"/>
        <v>13.392013951032215</v>
      </c>
      <c r="X270" s="27">
        <v>12.436139873162974</v>
      </c>
      <c r="Y270" s="15">
        <f t="shared" si="134"/>
        <v>36.531205066423965</v>
      </c>
      <c r="Z270" s="27">
        <v>11.467944554239477</v>
      </c>
      <c r="AA270" s="15">
        <f t="shared" si="135"/>
        <v>33.687127876823304</v>
      </c>
      <c r="AB270" s="24">
        <v>2866.885812121855</v>
      </c>
      <c r="AC270" s="15">
        <f t="shared" si="136"/>
        <v>8421.4872599376722</v>
      </c>
      <c r="AD270" s="24">
        <v>139.70411301348781</v>
      </c>
      <c r="AE270" s="15">
        <f t="shared" si="137"/>
        <v>410.38132838405966</v>
      </c>
      <c r="AF270" s="24">
        <v>553.89729314502551</v>
      </c>
      <c r="AG270" s="15">
        <f t="shared" si="138"/>
        <v>1627.0752667621516</v>
      </c>
      <c r="AH270" s="24">
        <v>12.593046806849607</v>
      </c>
      <c r="AI270" s="15">
        <f t="shared" si="139"/>
        <v>36.992119741661718</v>
      </c>
    </row>
    <row r="271" spans="1:35" x14ac:dyDescent="0.45">
      <c r="A271" s="11" t="s">
        <v>2</v>
      </c>
      <c r="B271" s="11" t="s">
        <v>7</v>
      </c>
      <c r="C271" s="10" t="s">
        <v>6</v>
      </c>
      <c r="D271" t="s">
        <v>65</v>
      </c>
      <c r="E271" t="s">
        <v>54</v>
      </c>
      <c r="F271" t="s">
        <v>46</v>
      </c>
      <c r="G271" s="12">
        <v>1.4687517766368094</v>
      </c>
      <c r="H271" s="25">
        <v>0.11099114697273647</v>
      </c>
      <c r="I271" s="19">
        <f t="shared" si="126"/>
        <v>3260.3688861432784</v>
      </c>
      <c r="J271" s="15">
        <v>150.52194597706364</v>
      </c>
      <c r="K271" s="15">
        <f t="shared" si="127"/>
        <v>442.15875115328413</v>
      </c>
      <c r="L271" s="26">
        <v>31914.463229314122</v>
      </c>
      <c r="M271" s="15">
        <f t="shared" si="128"/>
        <v>93748.849136930483</v>
      </c>
      <c r="N271" s="15">
        <v>108.60444203408386</v>
      </c>
      <c r="O271" s="15">
        <f t="shared" si="129"/>
        <v>319.02593437642008</v>
      </c>
      <c r="P271" s="27">
        <v>3.4931285041501261</v>
      </c>
      <c r="Q271" s="19">
        <f t="shared" si="130"/>
        <v>102.61077392982355</v>
      </c>
      <c r="R271" s="27">
        <v>1.2933741108660815</v>
      </c>
      <c r="S271" s="19">
        <f t="shared" si="131"/>
        <v>37.992910463812215</v>
      </c>
      <c r="T271" s="27">
        <v>12.148066140960914</v>
      </c>
      <c r="U271" s="15">
        <f t="shared" si="132"/>
        <v>35.684987454475618</v>
      </c>
      <c r="V271" s="27">
        <v>8.7226953790101209</v>
      </c>
      <c r="W271" s="15">
        <f t="shared" si="133"/>
        <v>25.622948669965602</v>
      </c>
      <c r="X271" s="27">
        <v>9.6033075586126309</v>
      </c>
      <c r="Y271" s="15">
        <f t="shared" si="134"/>
        <v>28.209750076604006</v>
      </c>
      <c r="Z271" s="27">
        <v>1.7148763497522559</v>
      </c>
      <c r="AA271" s="15">
        <f t="shared" si="135"/>
        <v>5.037455370822145</v>
      </c>
      <c r="AB271" s="24">
        <v>2868.1604901095811</v>
      </c>
      <c r="AC271" s="15">
        <f t="shared" si="136"/>
        <v>8425.2316310558981</v>
      </c>
      <c r="AD271" s="24">
        <v>129.89857292162961</v>
      </c>
      <c r="AE271" s="15">
        <f t="shared" si="137"/>
        <v>381.57751952245928</v>
      </c>
      <c r="AF271" s="24">
        <v>594.41586968937702</v>
      </c>
      <c r="AG271" s="15">
        <f t="shared" si="138"/>
        <v>1746.0987293347732</v>
      </c>
      <c r="AH271" s="24">
        <v>15.58782875059555</v>
      </c>
      <c r="AI271" s="15">
        <f t="shared" si="139"/>
        <v>45.789302342695102</v>
      </c>
    </row>
    <row r="272" spans="1:35" x14ac:dyDescent="0.45">
      <c r="A272" s="11" t="s">
        <v>2</v>
      </c>
      <c r="B272" s="11" t="s">
        <v>7</v>
      </c>
      <c r="C272" s="10" t="s">
        <v>6</v>
      </c>
      <c r="D272" t="s">
        <v>65</v>
      </c>
      <c r="E272" t="s">
        <v>55</v>
      </c>
      <c r="F272" t="s">
        <v>46</v>
      </c>
      <c r="G272" s="12">
        <v>1.4687517766368094</v>
      </c>
      <c r="H272" s="25">
        <v>0.10160396363980259</v>
      </c>
      <c r="I272" s="19">
        <f t="shared" si="126"/>
        <v>2984.6200421860372</v>
      </c>
      <c r="J272" s="15">
        <v>130.20507138942554</v>
      </c>
      <c r="K272" s="15">
        <f t="shared" si="127"/>
        <v>382.47785986068271</v>
      </c>
      <c r="L272" s="26">
        <v>32748.548258552484</v>
      </c>
      <c r="M272" s="15">
        <f t="shared" si="128"/>
        <v>96198.97687405051</v>
      </c>
      <c r="N272" s="15">
        <v>112.44983438177658</v>
      </c>
      <c r="O272" s="15">
        <f t="shared" si="129"/>
        <v>330.32178806149864</v>
      </c>
      <c r="P272" s="27">
        <v>3.8788804921998397</v>
      </c>
      <c r="Q272" s="19">
        <f t="shared" si="130"/>
        <v>113.94225228560752</v>
      </c>
      <c r="R272" s="27">
        <v>0.99274777768703026</v>
      </c>
      <c r="S272" s="19">
        <f t="shared" si="131"/>
        <v>29.162001244601402</v>
      </c>
      <c r="T272" s="27">
        <v>10.099911329175496</v>
      </c>
      <c r="U272" s="15">
        <f t="shared" si="132"/>
        <v>29.668525417201497</v>
      </c>
      <c r="V272" s="27">
        <v>5.2455176435709427</v>
      </c>
      <c r="W272" s="15">
        <f t="shared" si="133"/>
        <v>15.408726716749104</v>
      </c>
      <c r="X272" s="27">
        <v>12.17880696039323</v>
      </c>
      <c r="Y272" s="15">
        <f t="shared" si="134"/>
        <v>35.775288720788588</v>
      </c>
      <c r="Z272" s="27">
        <v>2.9440108164100165</v>
      </c>
      <c r="AA272" s="15">
        <f t="shared" si="135"/>
        <v>8.6480422340803909</v>
      </c>
      <c r="AB272" s="24">
        <v>3281.0645169158975</v>
      </c>
      <c r="AC272" s="15">
        <f t="shared" si="136"/>
        <v>9638.1386769604378</v>
      </c>
      <c r="AD272" s="24">
        <v>134.45340833844963</v>
      </c>
      <c r="AE272" s="15">
        <f t="shared" si="137"/>
        <v>394.95736474394459</v>
      </c>
      <c r="AF272" s="24">
        <v>466.57339460730657</v>
      </c>
      <c r="AG272" s="15">
        <f t="shared" si="138"/>
        <v>1370.5610045218973</v>
      </c>
      <c r="AH272" s="24">
        <v>9.6726183312138385</v>
      </c>
      <c r="AI272" s="15">
        <f t="shared" si="139"/>
        <v>28.413350717400188</v>
      </c>
    </row>
    <row r="273" spans="1:35" x14ac:dyDescent="0.45">
      <c r="A273" s="11" t="s">
        <v>2</v>
      </c>
      <c r="B273" s="11" t="s">
        <v>7</v>
      </c>
      <c r="C273" s="10" t="s">
        <v>6</v>
      </c>
      <c r="D273" t="s">
        <v>65</v>
      </c>
      <c r="E273" t="s">
        <v>56</v>
      </c>
      <c r="F273" t="s">
        <v>46</v>
      </c>
      <c r="G273" s="12">
        <v>1.4687517766368094</v>
      </c>
      <c r="H273" s="25">
        <v>0.10490179847974423</v>
      </c>
      <c r="I273" s="19">
        <f t="shared" si="126"/>
        <v>3081.4940577904181</v>
      </c>
      <c r="J273" s="15">
        <v>120.92862793573309</v>
      </c>
      <c r="K273" s="15">
        <f t="shared" si="127"/>
        <v>355.22827425371935</v>
      </c>
      <c r="L273" s="26">
        <v>29381.877568760156</v>
      </c>
      <c r="M273" s="15">
        <f t="shared" si="128"/>
        <v>86309.369760083384</v>
      </c>
      <c r="N273" s="15">
        <v>102.0335298207748</v>
      </c>
      <c r="O273" s="15">
        <f t="shared" si="129"/>
        <v>299.72385640157574</v>
      </c>
      <c r="P273" s="27">
        <v>3.3058863661931039</v>
      </c>
      <c r="Q273" s="19">
        <f t="shared" si="130"/>
        <v>97.11052947411055</v>
      </c>
      <c r="R273" s="27">
        <v>0.97952188627943804</v>
      </c>
      <c r="S273" s="19">
        <f t="shared" si="131"/>
        <v>28.773490214551266</v>
      </c>
      <c r="T273" s="27">
        <v>9.9691928704687953</v>
      </c>
      <c r="U273" s="15">
        <f t="shared" si="132"/>
        <v>29.284539480272116</v>
      </c>
      <c r="V273" s="27">
        <v>191.57571712709475</v>
      </c>
      <c r="W273" s="15">
        <f t="shared" si="133"/>
        <v>562.75434978178248</v>
      </c>
      <c r="X273" s="27">
        <v>27.673870018510392</v>
      </c>
      <c r="Y273" s="15">
        <f t="shared" si="134"/>
        <v>81.29209151220654</v>
      </c>
      <c r="Z273" s="27">
        <v>5.5849322902466056</v>
      </c>
      <c r="AA273" s="15">
        <f t="shared" si="135"/>
        <v>16.405758447391975</v>
      </c>
      <c r="AB273" s="24">
        <v>2991.6230943451174</v>
      </c>
      <c r="AC273" s="15">
        <f t="shared" si="136"/>
        <v>8787.9034696941999</v>
      </c>
      <c r="AD273" s="24">
        <v>236.71778918419756</v>
      </c>
      <c r="AE273" s="15">
        <f t="shared" si="137"/>
        <v>695.35934685165569</v>
      </c>
      <c r="AF273" s="24">
        <v>561.18441401426139</v>
      </c>
      <c r="AG273" s="15">
        <f t="shared" si="138"/>
        <v>1648.4812102086664</v>
      </c>
      <c r="AH273" s="24">
        <v>14.284694174908473</v>
      </c>
      <c r="AI273" s="15">
        <f t="shared" si="139"/>
        <v>41.961339896220601</v>
      </c>
    </row>
    <row r="274" spans="1:35" x14ac:dyDescent="0.45">
      <c r="A274" s="11" t="s">
        <v>2</v>
      </c>
      <c r="B274" s="11" t="s">
        <v>7</v>
      </c>
      <c r="C274" s="10" t="s">
        <v>6</v>
      </c>
      <c r="D274" t="s">
        <v>65</v>
      </c>
      <c r="E274" t="s">
        <v>57</v>
      </c>
      <c r="F274" t="s">
        <v>46</v>
      </c>
      <c r="G274" s="12">
        <v>1.4687517766368094</v>
      </c>
      <c r="H274" s="25">
        <v>0.11232581023549669</v>
      </c>
      <c r="I274" s="19">
        <f t="shared" si="126"/>
        <v>3299.5746669110972</v>
      </c>
      <c r="J274" s="15">
        <v>144.2752141312244</v>
      </c>
      <c r="K274" s="15">
        <f t="shared" si="127"/>
        <v>423.80895415978392</v>
      </c>
      <c r="L274" s="26">
        <v>32103.623806683048</v>
      </c>
      <c r="M274" s="15">
        <f t="shared" si="128"/>
        <v>94304.509005090993</v>
      </c>
      <c r="N274" s="15">
        <v>111.78940432684277</v>
      </c>
      <c r="O274" s="15">
        <f t="shared" si="129"/>
        <v>328.38177242844188</v>
      </c>
      <c r="P274" s="27">
        <v>3.5624474091881702</v>
      </c>
      <c r="Q274" s="19">
        <f t="shared" si="130"/>
        <v>104.64701922840648</v>
      </c>
      <c r="R274" s="27">
        <v>1.1222738948020536</v>
      </c>
      <c r="S274" s="19">
        <f t="shared" si="131"/>
        <v>32.966835537272559</v>
      </c>
      <c r="T274" s="27">
        <v>14.625754619989031</v>
      </c>
      <c r="U274" s="15">
        <f t="shared" si="132"/>
        <v>42.963206165525825</v>
      </c>
      <c r="V274" s="27">
        <v>775.48959812822625</v>
      </c>
      <c r="W274" s="15">
        <f t="shared" si="133"/>
        <v>2278.003450028395</v>
      </c>
      <c r="X274" s="27">
        <v>93.620857533898132</v>
      </c>
      <c r="Y274" s="15">
        <f t="shared" si="134"/>
        <v>275.01160166634901</v>
      </c>
      <c r="Z274" s="27">
        <v>5.0982150941215529</v>
      </c>
      <c r="AA274" s="15">
        <f t="shared" si="135"/>
        <v>14.976024954335257</v>
      </c>
      <c r="AB274" s="24">
        <v>3137.1558227662726</v>
      </c>
      <c r="AC274" s="15">
        <f t="shared" si="136"/>
        <v>9215.4063765489482</v>
      </c>
      <c r="AD274" s="24">
        <v>447.56476239063358</v>
      </c>
      <c r="AE274" s="15">
        <f t="shared" si="137"/>
        <v>1314.7230798425492</v>
      </c>
      <c r="AF274" s="24">
        <v>572.58872183778237</v>
      </c>
      <c r="AG274" s="15">
        <f t="shared" si="138"/>
        <v>1681.9814049628853</v>
      </c>
      <c r="AH274" s="24">
        <v>16.809944127347741</v>
      </c>
      <c r="AI274" s="15">
        <f t="shared" si="139"/>
        <v>49.379270604414991</v>
      </c>
    </row>
    <row r="275" spans="1:35" x14ac:dyDescent="0.45">
      <c r="A275" s="11" t="s">
        <v>2</v>
      </c>
      <c r="B275" s="11" t="s">
        <v>7</v>
      </c>
      <c r="C275" s="10" t="s">
        <v>6</v>
      </c>
      <c r="D275" t="s">
        <v>65</v>
      </c>
      <c r="E275" t="s">
        <v>51</v>
      </c>
      <c r="F275" t="s">
        <v>47</v>
      </c>
      <c r="G275" s="12">
        <v>1.4687517766368094</v>
      </c>
      <c r="H275" s="25">
        <v>9.8706162198401504E-2</v>
      </c>
      <c r="I275" s="19">
        <f t="shared" si="126"/>
        <v>2899.4970218780659</v>
      </c>
      <c r="J275" s="15">
        <v>75.378078028732247</v>
      </c>
      <c r="K275" s="15">
        <f t="shared" si="127"/>
        <v>221.42337204833709</v>
      </c>
      <c r="L275" s="26">
        <v>29285.053570670261</v>
      </c>
      <c r="M275" s="15">
        <f t="shared" si="128"/>
        <v>86024.948921652162</v>
      </c>
      <c r="N275" s="15">
        <v>99.197963151354912</v>
      </c>
      <c r="O275" s="15">
        <f t="shared" si="129"/>
        <v>291.39436923461056</v>
      </c>
      <c r="P275" s="27">
        <v>3.3100091743119266</v>
      </c>
      <c r="Q275" s="19">
        <f t="shared" si="130"/>
        <v>97.231637109095615</v>
      </c>
      <c r="R275" s="27">
        <v>0.90179816513761457</v>
      </c>
      <c r="S275" s="19">
        <f t="shared" si="131"/>
        <v>26.490353144273723</v>
      </c>
      <c r="T275" s="27">
        <v>11.69040411588392</v>
      </c>
      <c r="U275" s="15">
        <f t="shared" si="132"/>
        <v>34.340603629613554</v>
      </c>
      <c r="V275" s="27">
        <v>7.4009537107305494</v>
      </c>
      <c r="W275" s="15">
        <f t="shared" si="133"/>
        <v>21.740327822884563</v>
      </c>
      <c r="X275" s="27">
        <v>16.722535354544711</v>
      </c>
      <c r="Y275" s="15">
        <f t="shared" si="134"/>
        <v>49.122507023718796</v>
      </c>
      <c r="Z275" s="27">
        <v>5.3697136977311333</v>
      </c>
      <c r="AA275" s="15">
        <f t="shared" si="135"/>
        <v>15.773553067147224</v>
      </c>
      <c r="AB275" s="24">
        <v>2936.3827549947423</v>
      </c>
      <c r="AC275" s="15">
        <f t="shared" si="136"/>
        <v>8625.6347765684332</v>
      </c>
      <c r="AD275" s="24">
        <v>188.57503931158897</v>
      </c>
      <c r="AE275" s="15">
        <f t="shared" si="137"/>
        <v>553.93984803650483</v>
      </c>
      <c r="AF275" s="24">
        <v>448.09021245944234</v>
      </c>
      <c r="AG275" s="15">
        <f t="shared" si="138"/>
        <v>1316.2665912867426</v>
      </c>
      <c r="AH275" s="24">
        <v>15.804384247066503</v>
      </c>
      <c r="AI275" s="15">
        <f t="shared" si="139"/>
        <v>46.425434883059459</v>
      </c>
    </row>
    <row r="276" spans="1:35" x14ac:dyDescent="0.45">
      <c r="A276" s="11" t="s">
        <v>2</v>
      </c>
      <c r="B276" s="11" t="s">
        <v>7</v>
      </c>
      <c r="C276" s="10" t="s">
        <v>6</v>
      </c>
      <c r="D276" t="s">
        <v>65</v>
      </c>
      <c r="E276" t="s">
        <v>52</v>
      </c>
      <c r="F276" t="s">
        <v>47</v>
      </c>
      <c r="G276" s="12">
        <v>1.4687517766368094</v>
      </c>
      <c r="H276" s="25">
        <v>9.6587724943919817E-2</v>
      </c>
      <c r="I276" s="19">
        <f t="shared" si="126"/>
        <v>2837.267852253794</v>
      </c>
      <c r="J276" s="15">
        <v>67.989814943269053</v>
      </c>
      <c r="K276" s="15">
        <f t="shared" si="127"/>
        <v>199.72032298226864</v>
      </c>
      <c r="L276" s="26">
        <v>27539.035269186006</v>
      </c>
      <c r="M276" s="15">
        <f t="shared" si="128"/>
        <v>80896.013956961397</v>
      </c>
      <c r="N276" s="15">
        <v>89.930751239702516</v>
      </c>
      <c r="O276" s="15">
        <f t="shared" si="129"/>
        <v>264.17190131519203</v>
      </c>
      <c r="P276" s="27">
        <v>3.6547153026847559</v>
      </c>
      <c r="Q276" s="19">
        <f t="shared" si="130"/>
        <v>107.3573918783994</v>
      </c>
      <c r="R276" s="27">
        <v>0.87017031016303703</v>
      </c>
      <c r="S276" s="19">
        <f t="shared" si="131"/>
        <v>25.561283780571284</v>
      </c>
      <c r="T276" s="27">
        <v>9.5201808351124839</v>
      </c>
      <c r="U276" s="15">
        <f t="shared" si="132"/>
        <v>27.965565030950327</v>
      </c>
      <c r="V276" s="27">
        <v>209.06789724944281</v>
      </c>
      <c r="W276" s="15">
        <f t="shared" si="133"/>
        <v>614.13769104568212</v>
      </c>
      <c r="X276" s="27">
        <v>26.279727360865074</v>
      </c>
      <c r="Y276" s="15">
        <f t="shared" si="134"/>
        <v>77.196792501603099</v>
      </c>
      <c r="Z276" s="27">
        <v>1.7113729738311694</v>
      </c>
      <c r="AA276" s="15">
        <f t="shared" si="135"/>
        <v>5.0271641916055003</v>
      </c>
      <c r="AB276" s="24">
        <v>2729.9460710997241</v>
      </c>
      <c r="AC276" s="15">
        <f t="shared" si="136"/>
        <v>8019.2262841007951</v>
      </c>
      <c r="AD276" s="24">
        <v>214.78252177034594</v>
      </c>
      <c r="AE276" s="15">
        <f t="shared" si="137"/>
        <v>630.92442088145958</v>
      </c>
      <c r="AF276" s="24">
        <v>435.58698340341186</v>
      </c>
      <c r="AG276" s="15">
        <f t="shared" si="138"/>
        <v>1279.5383115072591</v>
      </c>
      <c r="AH276" s="24">
        <v>11.441685739167962</v>
      </c>
      <c r="AI276" s="15">
        <f t="shared" si="139"/>
        <v>33.609992514245981</v>
      </c>
    </row>
    <row r="277" spans="1:35" x14ac:dyDescent="0.45">
      <c r="A277" s="11" t="s">
        <v>2</v>
      </c>
      <c r="B277" s="11" t="s">
        <v>7</v>
      </c>
      <c r="C277" s="10" t="s">
        <v>6</v>
      </c>
      <c r="D277" t="s">
        <v>65</v>
      </c>
      <c r="E277" t="s">
        <v>53</v>
      </c>
      <c r="F277" t="s">
        <v>47</v>
      </c>
      <c r="G277" s="12">
        <v>1.4687517766368094</v>
      </c>
      <c r="H277" s="25">
        <v>8.8516319001851473E-2</v>
      </c>
      <c r="I277" s="19">
        <f t="shared" si="126"/>
        <v>2600.1700159063985</v>
      </c>
      <c r="J277" s="15">
        <v>56.594318464758985</v>
      </c>
      <c r="K277" s="15">
        <f t="shared" si="127"/>
        <v>166.24601158532829</v>
      </c>
      <c r="L277" s="26">
        <v>29472.127781820855</v>
      </c>
      <c r="M277" s="15">
        <f t="shared" si="128"/>
        <v>86574.480081632893</v>
      </c>
      <c r="N277" s="15">
        <v>100.85146716038366</v>
      </c>
      <c r="O277" s="15">
        <f t="shared" si="129"/>
        <v>296.25154313648466</v>
      </c>
      <c r="P277" s="27">
        <v>3.05205913841057</v>
      </c>
      <c r="Q277" s="19">
        <f t="shared" si="130"/>
        <v>89.65434563882269</v>
      </c>
      <c r="R277" s="27">
        <v>0.82958654433307444</v>
      </c>
      <c r="S277" s="19">
        <f t="shared" si="131"/>
        <v>24.369134217263888</v>
      </c>
      <c r="T277" s="27">
        <v>6.8181758316819732</v>
      </c>
      <c r="U277" s="15">
        <f t="shared" si="132"/>
        <v>20.028415732410107</v>
      </c>
      <c r="V277" s="27">
        <v>197.35398124995831</v>
      </c>
      <c r="W277" s="15">
        <f t="shared" si="133"/>
        <v>579.72802117444769</v>
      </c>
      <c r="X277" s="27">
        <v>19.116882287933088</v>
      </c>
      <c r="Y277" s="15">
        <f t="shared" si="134"/>
        <v>56.15590964831695</v>
      </c>
      <c r="Z277" s="27">
        <v>1.0647377476823494</v>
      </c>
      <c r="AA277" s="15">
        <f t="shared" si="135"/>
        <v>3.127670917121451</v>
      </c>
      <c r="AB277" s="24">
        <v>2643.7347850587548</v>
      </c>
      <c r="AC277" s="15">
        <f t="shared" si="136"/>
        <v>7765.9803250231589</v>
      </c>
      <c r="AD277" s="24">
        <v>179.1541887310878</v>
      </c>
      <c r="AE277" s="15">
        <f t="shared" si="137"/>
        <v>526.26606598142291</v>
      </c>
      <c r="AF277" s="24">
        <v>537.46256619326346</v>
      </c>
      <c r="AG277" s="15">
        <f t="shared" si="138"/>
        <v>1578.7981979442688</v>
      </c>
      <c r="AH277" s="24">
        <v>16.462817342856717</v>
      </c>
      <c r="AI277" s="15">
        <f t="shared" si="139"/>
        <v>48.359584441536157</v>
      </c>
    </row>
    <row r="278" spans="1:35" x14ac:dyDescent="0.45">
      <c r="A278" s="11" t="s">
        <v>2</v>
      </c>
      <c r="B278" s="11" t="s">
        <v>7</v>
      </c>
      <c r="C278" s="10" t="s">
        <v>6</v>
      </c>
      <c r="D278" t="s">
        <v>65</v>
      </c>
      <c r="E278" t="s">
        <v>54</v>
      </c>
      <c r="F278" t="s">
        <v>47</v>
      </c>
      <c r="G278" s="12">
        <v>1.4687517766368094</v>
      </c>
      <c r="H278" s="25">
        <v>0.13367965382504929</v>
      </c>
      <c r="I278" s="19">
        <f t="shared" si="126"/>
        <v>3926.8445811146958</v>
      </c>
      <c r="J278" s="15">
        <v>201.20143968976541</v>
      </c>
      <c r="K278" s="15">
        <f t="shared" si="127"/>
        <v>591.0299440124536</v>
      </c>
      <c r="L278" s="26">
        <v>29345.966081580424</v>
      </c>
      <c r="M278" s="15">
        <f t="shared" si="128"/>
        <v>86203.879638889586</v>
      </c>
      <c r="N278" s="15">
        <v>122.68380468888137</v>
      </c>
      <c r="O278" s="15">
        <f t="shared" si="129"/>
        <v>360.38411220271564</v>
      </c>
      <c r="P278" s="27">
        <v>3.4967514677103719</v>
      </c>
      <c r="Q278" s="19">
        <f t="shared" si="130"/>
        <v>102.71719861313959</v>
      </c>
      <c r="R278" s="27">
        <v>1.3433268101761253</v>
      </c>
      <c r="S278" s="19">
        <f t="shared" si="131"/>
        <v>39.460272781000839</v>
      </c>
      <c r="T278" s="27">
        <v>10.411167847752264</v>
      </c>
      <c r="U278" s="15">
        <f t="shared" si="132"/>
        <v>30.582842546500331</v>
      </c>
      <c r="V278" s="27">
        <v>5.7879002986729677</v>
      </c>
      <c r="W278" s="15">
        <f t="shared" si="133"/>
        <v>17.001977693345282</v>
      </c>
      <c r="X278" s="27">
        <v>12.40669003663341</v>
      </c>
      <c r="Y278" s="15">
        <f t="shared" si="134"/>
        <v>36.444696066975041</v>
      </c>
      <c r="Z278" s="27">
        <v>4.8248239031352158</v>
      </c>
      <c r="AA278" s="15">
        <f t="shared" si="135"/>
        <v>14.172937359379185</v>
      </c>
      <c r="AB278" s="24">
        <v>3114.6551566472185</v>
      </c>
      <c r="AC278" s="15">
        <f t="shared" si="136"/>
        <v>9149.3105898732028</v>
      </c>
      <c r="AD278" s="24">
        <v>150.20378418150787</v>
      </c>
      <c r="AE278" s="15">
        <f t="shared" si="137"/>
        <v>441.22414974832316</v>
      </c>
      <c r="AF278" s="24">
        <v>524.3310012225644</v>
      </c>
      <c r="AG278" s="15">
        <f t="shared" si="138"/>
        <v>1540.2241791827969</v>
      </c>
      <c r="AH278" s="24">
        <v>12.716639396962018</v>
      </c>
      <c r="AI278" s="15">
        <f t="shared" si="139"/>
        <v>37.355173414275214</v>
      </c>
    </row>
    <row r="279" spans="1:35" x14ac:dyDescent="0.45">
      <c r="A279" s="11" t="s">
        <v>2</v>
      </c>
      <c r="B279" s="11" t="s">
        <v>7</v>
      </c>
      <c r="C279" s="10" t="s">
        <v>6</v>
      </c>
      <c r="D279" t="s">
        <v>65</v>
      </c>
      <c r="E279" t="s">
        <v>55</v>
      </c>
      <c r="F279" t="s">
        <v>47</v>
      </c>
      <c r="G279" s="12">
        <v>1.4687517766368094</v>
      </c>
      <c r="H279" s="25">
        <v>0.12276639382019802</v>
      </c>
      <c r="I279" s="19">
        <f t="shared" ref="I279:I295" si="140">G279*0.2*10000*H279/100*1000</f>
        <v>3606.2671806942012</v>
      </c>
      <c r="J279" s="15">
        <v>133.58501301701409</v>
      </c>
      <c r="K279" s="15">
        <f t="shared" ref="K279:K295" si="141">G279*0.2*10000*1000*J279/1000000</f>
        <v>392.40645040158154</v>
      </c>
      <c r="L279" s="26">
        <v>33238.475679823976</v>
      </c>
      <c r="M279" s="15">
        <f t="shared" ref="M279:M295" si="142">G279*0.2*10000*1000*L279/1000000</f>
        <v>97638.14041488168</v>
      </c>
      <c r="N279" s="15">
        <v>119.91095656645356</v>
      </c>
      <c r="O279" s="15">
        <f t="shared" ref="O279:O295" si="143">G279*0.2*10000*1000*N279/1000000</f>
        <v>352.23886099039589</v>
      </c>
      <c r="P279" s="27">
        <v>3.8158443264755491</v>
      </c>
      <c r="Q279" s="19">
        <f t="shared" ref="Q279:Q295" si="144">G279*0.2*10000*P279/100</f>
        <v>112.09056267760903</v>
      </c>
      <c r="R279" s="27">
        <v>1.1488563563582299</v>
      </c>
      <c r="S279" s="19">
        <f t="shared" ref="S279:S295" si="145">G279*0.2*10000*R279/100</f>
        <v>33.747696290032835</v>
      </c>
      <c r="T279" s="27">
        <v>9.7236129646719256</v>
      </c>
      <c r="U279" s="15">
        <f t="shared" ref="U279:U295" si="146">G279*0.2*10000*1000*T279/1000000</f>
        <v>28.56314763438121</v>
      </c>
      <c r="V279" s="27">
        <v>7.8473237205769166</v>
      </c>
      <c r="W279" s="15">
        <f t="shared" ref="W279:W295" si="147">G279*0.2*10000*1000*V279/1000000</f>
        <v>23.051541312883046</v>
      </c>
      <c r="X279" s="27">
        <v>17.633518061322381</v>
      </c>
      <c r="Y279" s="15">
        <f t="shared" ref="Y279:Y295" si="148">G279*0.2*10000*1000*X279/1000000</f>
        <v>51.798521961849026</v>
      </c>
      <c r="Z279" s="27">
        <v>9.2861698123862073</v>
      </c>
      <c r="AA279" s="15">
        <f t="shared" ref="AA279:AA295" si="149">G279*0.2*10000*1000*Z279/1000000</f>
        <v>27.278156820186698</v>
      </c>
      <c r="AB279" s="24">
        <v>3670.6282394148625</v>
      </c>
      <c r="AC279" s="15">
        <f t="shared" ref="AC279:AC295" si="150">G279*0.2*10000*1000*AB279/1000000</f>
        <v>10782.483496027646</v>
      </c>
      <c r="AD279" s="24">
        <v>201.1303144884856</v>
      </c>
      <c r="AE279" s="15">
        <f t="shared" ref="AE279:AE295" si="151">G279*0.2*10000*1000*AD279/1000000</f>
        <v>590.82101348096683</v>
      </c>
      <c r="AF279" s="24">
        <v>457.5714654613048</v>
      </c>
      <c r="AG279" s="15">
        <f t="shared" ref="AG279:AG295" si="152">G279*0.2*10000*1000*AF279/1000000</f>
        <v>1344.1178056691997</v>
      </c>
      <c r="AH279" s="24">
        <v>15.386469058369148</v>
      </c>
      <c r="AI279" s="15">
        <f t="shared" ref="AI279:AI295" si="153">G279*0.2*10000*1000*AH279/1000000</f>
        <v>45.197807531293961</v>
      </c>
    </row>
    <row r="280" spans="1:35" x14ac:dyDescent="0.45">
      <c r="A280" s="11" t="s">
        <v>2</v>
      </c>
      <c r="B280" s="11" t="s">
        <v>7</v>
      </c>
      <c r="C280" s="10" t="s">
        <v>6</v>
      </c>
      <c r="D280" t="s">
        <v>65</v>
      </c>
      <c r="E280" t="s">
        <v>56</v>
      </c>
      <c r="F280" t="s">
        <v>47</v>
      </c>
      <c r="G280" s="12">
        <v>1.4687517766368094</v>
      </c>
      <c r="H280" s="25">
        <v>0.10047422628732748</v>
      </c>
      <c r="I280" s="19">
        <f t="shared" si="140"/>
        <v>2951.4339673144214</v>
      </c>
      <c r="J280" s="15">
        <v>83.351888383702317</v>
      </c>
      <c r="K280" s="15">
        <f t="shared" si="141"/>
        <v>244.84646829919163</v>
      </c>
      <c r="L280" s="26">
        <v>32969.844601711666</v>
      </c>
      <c r="M280" s="15">
        <f t="shared" si="142"/>
        <v>96849.035668407058</v>
      </c>
      <c r="N280" s="15">
        <v>112.30353317458037</v>
      </c>
      <c r="O280" s="15">
        <f t="shared" si="143"/>
        <v>329.89202774551154</v>
      </c>
      <c r="P280" s="27">
        <v>3.4618336831797247</v>
      </c>
      <c r="Q280" s="19">
        <f t="shared" si="144"/>
        <v>101.6914874518274</v>
      </c>
      <c r="R280" s="27">
        <v>0.92727687942314052</v>
      </c>
      <c r="S280" s="19">
        <f t="shared" si="145"/>
        <v>27.238791281739481</v>
      </c>
      <c r="T280" s="27">
        <v>9.6285672804024678</v>
      </c>
      <c r="U280" s="15">
        <f t="shared" si="146"/>
        <v>28.283950599116352</v>
      </c>
      <c r="V280" s="27">
        <v>202.61933161148798</v>
      </c>
      <c r="W280" s="15">
        <f t="shared" si="147"/>
        <v>595.19500657067158</v>
      </c>
      <c r="X280" s="27">
        <v>33.491377495365214</v>
      </c>
      <c r="Y280" s="15">
        <f t="shared" si="148"/>
        <v>98.381040396663423</v>
      </c>
      <c r="Z280" s="27">
        <v>3.2520757950384511</v>
      </c>
      <c r="AA280" s="15">
        <f t="shared" si="149"/>
        <v>9.5529842034405785</v>
      </c>
      <c r="AB280" s="24">
        <v>3001.0235389609479</v>
      </c>
      <c r="AC280" s="15">
        <f t="shared" si="150"/>
        <v>8815.5173091555534</v>
      </c>
      <c r="AD280" s="24">
        <v>295.96092121021809</v>
      </c>
      <c r="AE280" s="15">
        <f t="shared" si="151"/>
        <v>869.38625768514919</v>
      </c>
      <c r="AF280" s="24">
        <v>573.73994282390402</v>
      </c>
      <c r="AG280" s="15">
        <f t="shared" si="152"/>
        <v>1685.3631207002209</v>
      </c>
      <c r="AH280" s="24">
        <v>13.434403590770991</v>
      </c>
      <c r="AI280" s="15">
        <f t="shared" si="153"/>
        <v>39.463608284001651</v>
      </c>
    </row>
    <row r="281" spans="1:35" x14ac:dyDescent="0.45">
      <c r="A281" s="11" t="s">
        <v>2</v>
      </c>
      <c r="B281" s="11" t="s">
        <v>7</v>
      </c>
      <c r="C281" s="10" t="s">
        <v>6</v>
      </c>
      <c r="D281" t="s">
        <v>65</v>
      </c>
      <c r="E281" t="s">
        <v>57</v>
      </c>
      <c r="F281" t="s">
        <v>47</v>
      </c>
      <c r="G281" s="12">
        <v>1.4687517766368094</v>
      </c>
      <c r="H281" s="25">
        <v>0.1823946862105312</v>
      </c>
      <c r="I281" s="19">
        <f t="shared" si="140"/>
        <v>5357.8503884166203</v>
      </c>
      <c r="J281" s="15">
        <v>247.27443201781188</v>
      </c>
      <c r="K281" s="15">
        <f t="shared" si="141"/>
        <v>726.36952268603829</v>
      </c>
      <c r="L281" s="26">
        <v>34125.696522015365</v>
      </c>
      <c r="M281" s="15">
        <f t="shared" si="142"/>
        <v>100244.3547913573</v>
      </c>
      <c r="N281" s="15">
        <v>145.07983280749846</v>
      </c>
      <c r="O281" s="15">
        <f t="shared" si="143"/>
        <v>426.17252438036923</v>
      </c>
      <c r="P281" s="27">
        <v>3.9177759530119509</v>
      </c>
      <c r="Q281" s="19">
        <f t="shared" si="144"/>
        <v>115.08480782902544</v>
      </c>
      <c r="R281" s="27">
        <v>1.8665843545763745</v>
      </c>
      <c r="S281" s="19">
        <f t="shared" si="145"/>
        <v>54.83098174053044</v>
      </c>
      <c r="T281" s="27">
        <v>17.695623745707241</v>
      </c>
      <c r="U281" s="15">
        <f t="shared" si="146"/>
        <v>51.980957630408042</v>
      </c>
      <c r="V281" s="27">
        <v>108.96838246759435</v>
      </c>
      <c r="W281" s="15">
        <f t="shared" si="147"/>
        <v>320.09501069303707</v>
      </c>
      <c r="X281" s="27">
        <v>22.777483901867743</v>
      </c>
      <c r="Y281" s="15">
        <f t="shared" si="148"/>
        <v>66.908939896369148</v>
      </c>
      <c r="Z281" s="27">
        <v>11.196665266446711</v>
      </c>
      <c r="AA281" s="15">
        <f t="shared" si="149"/>
        <v>32.890244005002522</v>
      </c>
      <c r="AB281" s="24">
        <v>4196.5705661870725</v>
      </c>
      <c r="AC281" s="15">
        <f t="shared" si="150"/>
        <v>12327.440949738007</v>
      </c>
      <c r="AD281" s="24">
        <v>243.84063389565779</v>
      </c>
      <c r="AE281" s="15">
        <f t="shared" si="151"/>
        <v>716.28272850098631</v>
      </c>
      <c r="AF281" s="24">
        <v>653.03242725704069</v>
      </c>
      <c r="AG281" s="15">
        <f t="shared" si="152"/>
        <v>1918.285075470453</v>
      </c>
      <c r="AH281" s="24">
        <v>16.325810681426017</v>
      </c>
      <c r="AI281" s="15">
        <f t="shared" si="153"/>
        <v>47.957126886761323</v>
      </c>
    </row>
    <row r="282" spans="1:35" x14ac:dyDescent="0.45">
      <c r="A282" s="11" t="s">
        <v>2</v>
      </c>
      <c r="B282" s="11" t="s">
        <v>7</v>
      </c>
      <c r="C282" s="10" t="s">
        <v>6</v>
      </c>
      <c r="D282" t="s">
        <v>65</v>
      </c>
      <c r="E282" t="s">
        <v>51</v>
      </c>
      <c r="F282" t="s">
        <v>48</v>
      </c>
      <c r="G282" s="12">
        <v>1.4687517766368094</v>
      </c>
      <c r="H282" s="25">
        <v>8.5155903903750857E-2</v>
      </c>
      <c r="I282" s="19">
        <f t="shared" si="140"/>
        <v>2501.4577029949496</v>
      </c>
      <c r="J282" s="15">
        <v>63.252365446300139</v>
      </c>
      <c r="K282" s="15">
        <f t="shared" si="141"/>
        <v>185.80404825146812</v>
      </c>
      <c r="L282" s="26">
        <v>27052.550144725286</v>
      </c>
      <c r="M282" s="15">
        <f t="shared" si="142"/>
        <v>79466.962175243272</v>
      </c>
      <c r="N282" s="15">
        <v>91.959208225774816</v>
      </c>
      <c r="O282" s="15">
        <f t="shared" si="143"/>
        <v>270.13050091944211</v>
      </c>
      <c r="P282" s="27">
        <v>4.210875397023675</v>
      </c>
      <c r="Q282" s="19">
        <f t="shared" si="144"/>
        <v>123.69461441149505</v>
      </c>
      <c r="R282" s="27">
        <v>0.84423418717834064</v>
      </c>
      <c r="S282" s="19">
        <f t="shared" si="145"/>
        <v>24.799409246314408</v>
      </c>
      <c r="T282" s="27">
        <v>9.7658199408282318</v>
      </c>
      <c r="U282" s="15">
        <f t="shared" si="146"/>
        <v>28.687130776813291</v>
      </c>
      <c r="V282" s="27">
        <v>7.589676411011383</v>
      </c>
      <c r="W282" s="15">
        <f t="shared" si="147"/>
        <v>22.294701425542904</v>
      </c>
      <c r="X282" s="27">
        <v>8.6608000980492807</v>
      </c>
      <c r="Y282" s="15">
        <f t="shared" si="148"/>
        <v>25.441131062212268</v>
      </c>
      <c r="Z282" s="27">
        <v>0.32643769509726384</v>
      </c>
      <c r="AA282" s="15">
        <f t="shared" si="149"/>
        <v>0.95891188927066273</v>
      </c>
      <c r="AB282" s="24">
        <v>2857.5373184732293</v>
      </c>
      <c r="AC282" s="15">
        <f t="shared" si="150"/>
        <v>8394.0260266270798</v>
      </c>
      <c r="AD282" s="24">
        <v>108.20821463336125</v>
      </c>
      <c r="AE282" s="15">
        <f t="shared" si="151"/>
        <v>317.86201497889306</v>
      </c>
      <c r="AF282" s="24">
        <v>412.87211991175701</v>
      </c>
      <c r="AG282" s="15">
        <f t="shared" si="152"/>
        <v>1212.8133192883977</v>
      </c>
      <c r="AH282" s="24">
        <v>12.18655621113583</v>
      </c>
      <c r="AI282" s="15">
        <f t="shared" si="153"/>
        <v>35.798052172380189</v>
      </c>
    </row>
    <row r="283" spans="1:35" x14ac:dyDescent="0.45">
      <c r="A283" s="11" t="s">
        <v>2</v>
      </c>
      <c r="B283" s="11" t="s">
        <v>7</v>
      </c>
      <c r="C283" s="10" t="s">
        <v>6</v>
      </c>
      <c r="D283" t="s">
        <v>65</v>
      </c>
      <c r="E283" t="s">
        <v>52</v>
      </c>
      <c r="F283" t="s">
        <v>48</v>
      </c>
      <c r="G283" s="12">
        <v>1.4687517766368094</v>
      </c>
      <c r="H283" s="25">
        <v>0.10520746974590578</v>
      </c>
      <c r="I283" s="19">
        <f t="shared" si="140"/>
        <v>3090.4731620952498</v>
      </c>
      <c r="J283" s="15">
        <v>163.27954762757696</v>
      </c>
      <c r="K283" s="15">
        <f t="shared" si="141"/>
        <v>479.63425133291639</v>
      </c>
      <c r="L283" s="26">
        <v>29186.21913842938</v>
      </c>
      <c r="M283" s="15">
        <f t="shared" si="142"/>
        <v>85734.622425758804</v>
      </c>
      <c r="N283" s="15">
        <v>109.1931974759421</v>
      </c>
      <c r="O283" s="15">
        <f t="shared" si="143"/>
        <v>320.7554055788878</v>
      </c>
      <c r="P283" s="27">
        <v>3.4180042462845006</v>
      </c>
      <c r="Q283" s="19">
        <f t="shared" si="144"/>
        <v>100.40399618565037</v>
      </c>
      <c r="R283" s="27">
        <v>1.0540552016985136</v>
      </c>
      <c r="S283" s="19">
        <f t="shared" si="145"/>
        <v>30.962909003359247</v>
      </c>
      <c r="T283" s="27">
        <v>7.9951816843687764</v>
      </c>
      <c r="U283" s="15">
        <f t="shared" si="146"/>
        <v>23.485874606901437</v>
      </c>
      <c r="V283" s="27">
        <v>314.54898273883271</v>
      </c>
      <c r="W283" s="15">
        <f t="shared" si="147"/>
        <v>923.98875447392322</v>
      </c>
      <c r="X283" s="27">
        <v>69.274001573159154</v>
      </c>
      <c r="Y283" s="15">
        <f t="shared" si="148"/>
        <v>203.49262577063726</v>
      </c>
      <c r="Z283" s="27">
        <v>6.6523048442095085</v>
      </c>
      <c r="AA283" s="15">
        <f t="shared" si="149"/>
        <v>19.541169117324735</v>
      </c>
      <c r="AB283" s="24">
        <v>2711.2780301300104</v>
      </c>
      <c r="AC283" s="15">
        <f t="shared" si="150"/>
        <v>7964.3888474196037</v>
      </c>
      <c r="AD283" s="24">
        <v>440.32786053239261</v>
      </c>
      <c r="AE283" s="15">
        <f t="shared" si="151"/>
        <v>1293.4646549192737</v>
      </c>
      <c r="AF283" s="24">
        <v>386.30615542077965</v>
      </c>
      <c r="AG283" s="15">
        <f t="shared" si="152"/>
        <v>1134.775704200011</v>
      </c>
      <c r="AH283" s="24">
        <v>13.658317896143663</v>
      </c>
      <c r="AI283" s="15">
        <f t="shared" si="153"/>
        <v>40.121357351662667</v>
      </c>
    </row>
    <row r="284" spans="1:35" x14ac:dyDescent="0.45">
      <c r="A284" s="11" t="s">
        <v>2</v>
      </c>
      <c r="B284" s="11" t="s">
        <v>7</v>
      </c>
      <c r="C284" s="10" t="s">
        <v>6</v>
      </c>
      <c r="D284" t="s">
        <v>65</v>
      </c>
      <c r="E284" t="s">
        <v>53</v>
      </c>
      <c r="F284" t="s">
        <v>48</v>
      </c>
      <c r="G284" s="12">
        <v>1.4687517766368094</v>
      </c>
      <c r="H284" s="25">
        <v>0.10689485700891961</v>
      </c>
      <c r="I284" s="19">
        <f t="shared" si="140"/>
        <v>3140.0402229037672</v>
      </c>
      <c r="J284" s="15">
        <v>169.45511832796379</v>
      </c>
      <c r="K284" s="15">
        <f t="shared" si="141"/>
        <v>497.77501220879515</v>
      </c>
      <c r="L284" s="26">
        <v>30035.158697651066</v>
      </c>
      <c r="M284" s="15">
        <f t="shared" si="142"/>
        <v>88228.385397487044</v>
      </c>
      <c r="N284" s="15">
        <v>118.72005296030996</v>
      </c>
      <c r="O284" s="15">
        <f t="shared" si="143"/>
        <v>348.74057741574268</v>
      </c>
      <c r="P284" s="27">
        <v>3.9137029424608158</v>
      </c>
      <c r="Q284" s="19">
        <f t="shared" si="144"/>
        <v>114.96516299936064</v>
      </c>
      <c r="R284" s="27">
        <v>0.9681265173455702</v>
      </c>
      <c r="S284" s="19">
        <f t="shared" si="145"/>
        <v>28.438750847210262</v>
      </c>
      <c r="T284" s="27">
        <v>7.2762313594437664</v>
      </c>
      <c r="U284" s="15">
        <f t="shared" si="146"/>
        <v>21.373955472806998</v>
      </c>
      <c r="V284" s="27">
        <v>6.2533376901415378</v>
      </c>
      <c r="W284" s="15">
        <f t="shared" si="147"/>
        <v>18.369201684610609</v>
      </c>
      <c r="X284" s="27">
        <v>14.366296604007752</v>
      </c>
      <c r="Y284" s="15">
        <f t="shared" si="148"/>
        <v>42.201047321655494</v>
      </c>
      <c r="Z284" s="27">
        <v>7.293954747977109</v>
      </c>
      <c r="AA284" s="15">
        <f t="shared" si="149"/>
        <v>21.426017989599739</v>
      </c>
      <c r="AB284" s="24">
        <v>2560.9402351223862</v>
      </c>
      <c r="AC284" s="15">
        <f t="shared" si="150"/>
        <v>7522.7710403933861</v>
      </c>
      <c r="AD284" s="24">
        <v>124.7789905744086</v>
      </c>
      <c r="AE284" s="15">
        <f t="shared" si="151"/>
        <v>366.53872818622062</v>
      </c>
      <c r="AF284" s="24">
        <v>427.81368196940093</v>
      </c>
      <c r="AG284" s="15">
        <f t="shared" si="152"/>
        <v>1256.704210924185</v>
      </c>
      <c r="AH284" s="24">
        <v>8.1007312928465272</v>
      </c>
      <c r="AI284" s="15">
        <f t="shared" si="153"/>
        <v>23.795926956851467</v>
      </c>
    </row>
    <row r="285" spans="1:35" x14ac:dyDescent="0.45">
      <c r="A285" s="11" t="s">
        <v>2</v>
      </c>
      <c r="B285" s="11" t="s">
        <v>7</v>
      </c>
      <c r="C285" s="10" t="s">
        <v>6</v>
      </c>
      <c r="D285" t="s">
        <v>65</v>
      </c>
      <c r="E285" t="s">
        <v>54</v>
      </c>
      <c r="F285" t="s">
        <v>48</v>
      </c>
      <c r="G285" s="12">
        <v>1.4687517766368094</v>
      </c>
      <c r="H285" s="25">
        <v>8.7356548593794631E-2</v>
      </c>
      <c r="I285" s="19">
        <f t="shared" si="140"/>
        <v>2566.1017189599133</v>
      </c>
      <c r="J285" s="15">
        <v>63.832758289647465</v>
      </c>
      <c r="K285" s="15">
        <f t="shared" si="141"/>
        <v>187.50895429109548</v>
      </c>
      <c r="L285" s="26">
        <v>30009.425673906593</v>
      </c>
      <c r="M285" s="15">
        <f t="shared" si="142"/>
        <v>88152.794548801176</v>
      </c>
      <c r="N285" s="15">
        <v>100.16524020922668</v>
      </c>
      <c r="O285" s="15">
        <f t="shared" si="143"/>
        <v>294.23574902910894</v>
      </c>
      <c r="P285" s="27">
        <v>3.1944220665499126</v>
      </c>
      <c r="Q285" s="19">
        <f t="shared" si="144"/>
        <v>93.836261711460253</v>
      </c>
      <c r="R285" s="27">
        <v>0.84225919439579677</v>
      </c>
      <c r="S285" s="19">
        <f t="shared" si="145"/>
        <v>24.741393763150285</v>
      </c>
      <c r="T285" s="27">
        <v>7.8325830446612494</v>
      </c>
      <c r="U285" s="15">
        <f t="shared" si="146"/>
        <v>23.008240525003121</v>
      </c>
      <c r="V285" s="27">
        <v>335.68909984014732</v>
      </c>
      <c r="W285" s="15">
        <f t="shared" si="147"/>
        <v>986.0879235756554</v>
      </c>
      <c r="X285" s="27">
        <v>81.600370124921952</v>
      </c>
      <c r="Y285" s="15">
        <f t="shared" si="148"/>
        <v>239.70137719040065</v>
      </c>
      <c r="Z285" s="27">
        <v>2.0815468471582697</v>
      </c>
      <c r="AA285" s="15">
        <f t="shared" si="149"/>
        <v>6.1145512598329148</v>
      </c>
      <c r="AB285" s="24">
        <v>2429.4220665499124</v>
      </c>
      <c r="AC285" s="15">
        <f t="shared" si="150"/>
        <v>7136.4359528917057</v>
      </c>
      <c r="AD285" s="24">
        <v>223.29246935201402</v>
      </c>
      <c r="AE285" s="15">
        <f t="shared" si="151"/>
        <v>655.9224221407818</v>
      </c>
      <c r="AF285" s="24">
        <v>502.85464098073555</v>
      </c>
      <c r="AG285" s="15">
        <f t="shared" si="152"/>
        <v>1477.1372946610406</v>
      </c>
      <c r="AH285" s="24">
        <v>11.075306479859897</v>
      </c>
      <c r="AI285" s="15">
        <f t="shared" si="153"/>
        <v>32.533752138182784</v>
      </c>
    </row>
    <row r="286" spans="1:35" x14ac:dyDescent="0.45">
      <c r="A286" s="11" t="s">
        <v>2</v>
      </c>
      <c r="B286" s="11" t="s">
        <v>7</v>
      </c>
      <c r="C286" s="10" t="s">
        <v>6</v>
      </c>
      <c r="D286" t="s">
        <v>65</v>
      </c>
      <c r="E286" t="s">
        <v>55</v>
      </c>
      <c r="F286" t="s">
        <v>48</v>
      </c>
      <c r="G286" s="12">
        <v>1.4687517766368094</v>
      </c>
      <c r="H286" s="25">
        <v>0.1263232776240644</v>
      </c>
      <c r="I286" s="19">
        <f t="shared" si="140"/>
        <v>3710.7507688185901</v>
      </c>
      <c r="J286" s="15">
        <v>119.96313418216759</v>
      </c>
      <c r="K286" s="15">
        <f t="shared" si="141"/>
        <v>352.39213292195717</v>
      </c>
      <c r="L286" s="26">
        <v>30301.033030495786</v>
      </c>
      <c r="M286" s="15">
        <f t="shared" si="142"/>
        <v>89009.392194942659</v>
      </c>
      <c r="N286" s="15">
        <v>114.79230943293626</v>
      </c>
      <c r="O286" s="15">
        <f t="shared" si="143"/>
        <v>337.20281684773499</v>
      </c>
      <c r="P286" s="27">
        <v>4.293976971555705</v>
      </c>
      <c r="Q286" s="19">
        <f t="shared" si="144"/>
        <v>126.13572611619976</v>
      </c>
      <c r="R286" s="27">
        <v>1.3597593743259735</v>
      </c>
      <c r="S286" s="19">
        <f t="shared" si="145"/>
        <v>39.942979936796597</v>
      </c>
      <c r="T286" s="27">
        <v>11.812229323840503</v>
      </c>
      <c r="U286" s="15">
        <f t="shared" si="146"/>
        <v>34.698465610864311</v>
      </c>
      <c r="V286" s="27">
        <v>196.8317132231376</v>
      </c>
      <c r="W286" s="15">
        <f t="shared" si="147"/>
        <v>578.19385698990061</v>
      </c>
      <c r="X286" s="27">
        <v>27.670601853942916</v>
      </c>
      <c r="Y286" s="15">
        <f t="shared" si="148"/>
        <v>81.282491267176894</v>
      </c>
      <c r="Z286" s="27">
        <v>2.0232478218884431</v>
      </c>
      <c r="AA286" s="15">
        <f t="shared" si="149"/>
        <v>5.9432976659504106</v>
      </c>
      <c r="AB286" s="24">
        <v>3458.0346759727317</v>
      </c>
      <c r="AC286" s="15">
        <f t="shared" si="150"/>
        <v>10157.989148013286</v>
      </c>
      <c r="AD286" s="24">
        <v>248.57756511340216</v>
      </c>
      <c r="AE286" s="15">
        <f t="shared" si="151"/>
        <v>730.19748078472321</v>
      </c>
      <c r="AF286" s="24">
        <v>486.12951241935508</v>
      </c>
      <c r="AG286" s="15">
        <f t="shared" si="152"/>
        <v>1428.0071700830274</v>
      </c>
      <c r="AH286" s="24">
        <v>16.237728043698045</v>
      </c>
      <c r="AI286" s="15">
        <f t="shared" si="153"/>
        <v>47.698383825453689</v>
      </c>
    </row>
    <row r="287" spans="1:35" x14ac:dyDescent="0.45">
      <c r="A287" s="11" t="s">
        <v>2</v>
      </c>
      <c r="B287" s="11" t="s">
        <v>7</v>
      </c>
      <c r="C287" s="10" t="s">
        <v>6</v>
      </c>
      <c r="D287" t="s">
        <v>65</v>
      </c>
      <c r="E287" t="s">
        <v>56</v>
      </c>
      <c r="F287" t="s">
        <v>48</v>
      </c>
      <c r="G287" s="12">
        <v>1.4687517766368094</v>
      </c>
      <c r="H287" s="25">
        <v>0.12998558887133196</v>
      </c>
      <c r="I287" s="19">
        <f t="shared" si="140"/>
        <v>3818.3312918390138</v>
      </c>
      <c r="J287" s="15">
        <v>111.85891838760674</v>
      </c>
      <c r="K287" s="15">
        <f t="shared" si="141"/>
        <v>328.58597022893849</v>
      </c>
      <c r="L287" s="26">
        <v>34146.406665690469</v>
      </c>
      <c r="M287" s="15">
        <f t="shared" si="142"/>
        <v>100305.19091199173</v>
      </c>
      <c r="N287" s="15">
        <v>130.50207145220784</v>
      </c>
      <c r="O287" s="15">
        <f t="shared" si="143"/>
        <v>383.35029860042823</v>
      </c>
      <c r="P287" s="27">
        <v>3.4063984304773296</v>
      </c>
      <c r="Q287" s="19">
        <f t="shared" si="144"/>
        <v>100.06307493392833</v>
      </c>
      <c r="R287" s="27">
        <v>1.3006248552731623</v>
      </c>
      <c r="S287" s="19">
        <f t="shared" si="145"/>
        <v>38.205901338409006</v>
      </c>
      <c r="T287" s="27">
        <v>12.159313384807408</v>
      </c>
      <c r="U287" s="15">
        <f t="shared" si="146"/>
        <v>35.718026273239232</v>
      </c>
      <c r="V287" s="27">
        <v>294.40321339099302</v>
      </c>
      <c r="W287" s="15">
        <f t="shared" si="147"/>
        <v>864.81048543121335</v>
      </c>
      <c r="X287" s="27">
        <v>49.261598079031707</v>
      </c>
      <c r="Y287" s="15">
        <f t="shared" si="148"/>
        <v>144.70611939709252</v>
      </c>
      <c r="Z287" s="27">
        <v>2.322607774366535</v>
      </c>
      <c r="AA287" s="15">
        <f t="shared" si="149"/>
        <v>6.8226685900626274</v>
      </c>
      <c r="AB287" s="24">
        <v>3309.2462470769069</v>
      </c>
      <c r="AC287" s="15">
        <f t="shared" si="150"/>
        <v>9720.9226094458008</v>
      </c>
      <c r="AD287" s="24">
        <v>297.52856166379524</v>
      </c>
      <c r="AE287" s="15">
        <f t="shared" si="151"/>
        <v>873.99120708778753</v>
      </c>
      <c r="AF287" s="24">
        <v>604.16514052138007</v>
      </c>
      <c r="AG287" s="15">
        <f t="shared" si="152"/>
        <v>1774.7372470456089</v>
      </c>
      <c r="AH287" s="24">
        <v>25.401247951568916</v>
      </c>
      <c r="AI287" s="15">
        <f t="shared" si="153"/>
        <v>74.61625611531791</v>
      </c>
    </row>
    <row r="288" spans="1:35" x14ac:dyDescent="0.45">
      <c r="A288" s="11" t="s">
        <v>2</v>
      </c>
      <c r="B288" s="11" t="s">
        <v>7</v>
      </c>
      <c r="C288" s="10" t="s">
        <v>6</v>
      </c>
      <c r="D288" t="s">
        <v>65</v>
      </c>
      <c r="E288" t="s">
        <v>57</v>
      </c>
      <c r="F288" t="s">
        <v>48</v>
      </c>
      <c r="G288" s="12">
        <v>1.4687517766368094</v>
      </c>
      <c r="H288" s="25">
        <v>0.13448051858503296</v>
      </c>
      <c r="I288" s="19">
        <f t="shared" si="140"/>
        <v>3950.3700118961324</v>
      </c>
      <c r="J288" s="15">
        <v>99.854967595585293</v>
      </c>
      <c r="K288" s="15">
        <f t="shared" si="141"/>
        <v>293.32432212405382</v>
      </c>
      <c r="L288" s="26">
        <v>32260.835684727561</v>
      </c>
      <c r="M288" s="15">
        <f t="shared" si="142"/>
        <v>94766.319455463556</v>
      </c>
      <c r="N288" s="15">
        <v>120.97813381772835</v>
      </c>
      <c r="O288" s="15">
        <f t="shared" si="143"/>
        <v>355.37369795798838</v>
      </c>
      <c r="P288" s="27">
        <v>3.569845816147589</v>
      </c>
      <c r="Q288" s="19">
        <f t="shared" si="144"/>
        <v>104.86434769572504</v>
      </c>
      <c r="R288" s="27">
        <v>1.3335630922390418</v>
      </c>
      <c r="S288" s="19">
        <f t="shared" si="145"/>
        <v>39.173463219667397</v>
      </c>
      <c r="T288" s="27">
        <v>12.303268867178989</v>
      </c>
      <c r="U288" s="15">
        <f t="shared" si="146"/>
        <v>36.140896014218974</v>
      </c>
      <c r="V288" s="27">
        <v>159.46685292928854</v>
      </c>
      <c r="W288" s="15">
        <f t="shared" si="147"/>
        <v>468.43444710914667</v>
      </c>
      <c r="X288" s="27">
        <v>25.55280913315595</v>
      </c>
      <c r="Y288" s="15">
        <f t="shared" si="148"/>
        <v>75.061467624768184</v>
      </c>
      <c r="Z288" s="27">
        <v>7.5551620224208778</v>
      </c>
      <c r="AA288" s="15">
        <f t="shared" si="149"/>
        <v>22.193315286419228</v>
      </c>
      <c r="AB288" s="24">
        <v>3436.4895069236845</v>
      </c>
      <c r="AC288" s="15">
        <f t="shared" si="150"/>
        <v>10094.70013737583</v>
      </c>
      <c r="AD288" s="24">
        <v>243.63171877444029</v>
      </c>
      <c r="AE288" s="15">
        <f t="shared" si="151"/>
        <v>715.66903959007732</v>
      </c>
      <c r="AF288" s="24">
        <v>608.58611531914846</v>
      </c>
      <c r="AG288" s="15">
        <f t="shared" si="152"/>
        <v>1787.723876222987</v>
      </c>
      <c r="AH288" s="24">
        <v>16.077720712645252</v>
      </c>
      <c r="AI288" s="15">
        <f t="shared" si="153"/>
        <v>47.228361721936288</v>
      </c>
    </row>
    <row r="289" spans="1:35" x14ac:dyDescent="0.45">
      <c r="A289" s="11" t="s">
        <v>2</v>
      </c>
      <c r="B289" s="11" t="s">
        <v>7</v>
      </c>
      <c r="C289" s="10" t="s">
        <v>6</v>
      </c>
      <c r="D289" t="s">
        <v>65</v>
      </c>
      <c r="E289" t="s">
        <v>51</v>
      </c>
      <c r="F289" t="s">
        <v>49</v>
      </c>
      <c r="G289" s="12">
        <v>1.4687517766368094</v>
      </c>
      <c r="H289" s="25">
        <v>8.9963212501548678E-2</v>
      </c>
      <c r="I289" s="19">
        <f t="shared" si="140"/>
        <v>2642.6725638720886</v>
      </c>
      <c r="J289" s="15">
        <v>60.583267523644146</v>
      </c>
      <c r="K289" s="15">
        <f t="shared" si="141"/>
        <v>177.96356361963089</v>
      </c>
      <c r="L289" s="26">
        <v>29033.51478768888</v>
      </c>
      <c r="M289" s="15">
        <f t="shared" si="142"/>
        <v>85286.052852858251</v>
      </c>
      <c r="N289" s="15">
        <v>92.616912172727552</v>
      </c>
      <c r="O289" s="15">
        <f t="shared" si="143"/>
        <v>272.06250860061783</v>
      </c>
      <c r="P289" s="27">
        <v>4.1136619318850123</v>
      </c>
      <c r="Q289" s="19">
        <f t="shared" si="144"/>
        <v>120.83896541878643</v>
      </c>
      <c r="R289" s="27">
        <v>0.82068068466533917</v>
      </c>
      <c r="S289" s="19">
        <f t="shared" si="145"/>
        <v>24.107524273074599</v>
      </c>
      <c r="T289" s="27">
        <v>9.3705171431778904</v>
      </c>
      <c r="U289" s="15">
        <f t="shared" si="146"/>
        <v>27.525927404096411</v>
      </c>
      <c r="V289" s="27">
        <v>188.8534439087577</v>
      </c>
      <c r="W289" s="15">
        <f t="shared" si="147"/>
        <v>554.75766252993571</v>
      </c>
      <c r="X289" s="27">
        <v>15.762822247106989</v>
      </c>
      <c r="Y289" s="15">
        <f t="shared" si="148"/>
        <v>46.30334636049723</v>
      </c>
      <c r="Z289" s="27">
        <v>5.6329323098655112E-2</v>
      </c>
      <c r="AA289" s="15">
        <f t="shared" si="149"/>
        <v>0.16546758675579712</v>
      </c>
      <c r="AB289" s="24">
        <v>2919.0119806846719</v>
      </c>
      <c r="AC289" s="15">
        <f t="shared" si="150"/>
        <v>8574.6080653094868</v>
      </c>
      <c r="AD289" s="24">
        <v>157.6079951232299</v>
      </c>
      <c r="AE289" s="15">
        <f t="shared" si="151"/>
        <v>462.974045698819</v>
      </c>
      <c r="AF289" s="24">
        <v>392.62110027739521</v>
      </c>
      <c r="AG289" s="15">
        <f t="shared" si="152"/>
        <v>1153.3258771550463</v>
      </c>
      <c r="AH289" s="24">
        <v>14.175393644219495</v>
      </c>
      <c r="AI289" s="15">
        <f t="shared" si="153"/>
        <v>41.640269198947031</v>
      </c>
    </row>
    <row r="290" spans="1:35" x14ac:dyDescent="0.45">
      <c r="A290" s="11" t="s">
        <v>2</v>
      </c>
      <c r="B290" s="11" t="s">
        <v>7</v>
      </c>
      <c r="C290" s="10" t="s">
        <v>6</v>
      </c>
      <c r="D290" t="s">
        <v>65</v>
      </c>
      <c r="E290" t="s">
        <v>52</v>
      </c>
      <c r="F290" t="s">
        <v>49</v>
      </c>
      <c r="G290" s="12">
        <v>1.4687517766368094</v>
      </c>
      <c r="H290" s="25">
        <v>9.4656548725294831E-2</v>
      </c>
      <c r="I290" s="19">
        <f t="shared" si="140"/>
        <v>2780.5394822117096</v>
      </c>
      <c r="J290" s="15">
        <v>99.749661789107222</v>
      </c>
      <c r="K290" s="15">
        <f t="shared" si="141"/>
        <v>293.01498594334419</v>
      </c>
      <c r="L290" s="26">
        <v>28569.077891054978</v>
      </c>
      <c r="M290" s="15">
        <f t="shared" si="142"/>
        <v>83921.76781872478</v>
      </c>
      <c r="N290" s="15">
        <v>100.71810510744808</v>
      </c>
      <c r="O290" s="15">
        <f t="shared" si="143"/>
        <v>295.85979163211454</v>
      </c>
      <c r="P290" s="27">
        <v>3.5916328076578754</v>
      </c>
      <c r="Q290" s="19">
        <f t="shared" si="144"/>
        <v>105.50434134549113</v>
      </c>
      <c r="R290" s="27">
        <v>0.89023377283827676</v>
      </c>
      <c r="S290" s="19">
        <f t="shared" si="145"/>
        <v>26.150648709566177</v>
      </c>
      <c r="T290" s="27">
        <v>8.3847520277646392</v>
      </c>
      <c r="U290" s="15">
        <f t="shared" si="146"/>
        <v>24.63023887487681</v>
      </c>
      <c r="V290" s="27">
        <v>169.53350998227515</v>
      </c>
      <c r="W290" s="15">
        <f t="shared" si="147"/>
        <v>498.00528797188173</v>
      </c>
      <c r="X290" s="27">
        <v>23.973067663551575</v>
      </c>
      <c r="Y290" s="15">
        <f t="shared" si="148"/>
        <v>70.420971444551625</v>
      </c>
      <c r="Z290" s="27">
        <v>1.2576669879990738</v>
      </c>
      <c r="AA290" s="15">
        <f t="shared" si="149"/>
        <v>3.6944012460822089</v>
      </c>
      <c r="AB290" s="24">
        <v>2834.4224721402602</v>
      </c>
      <c r="AC290" s="15">
        <f t="shared" si="150"/>
        <v>8326.126083390609</v>
      </c>
      <c r="AD290" s="24">
        <v>189.30258387940367</v>
      </c>
      <c r="AE290" s="15">
        <f t="shared" si="151"/>
        <v>556.07701278962554</v>
      </c>
      <c r="AF290" s="24">
        <v>414.41917011437022</v>
      </c>
      <c r="AG290" s="15">
        <f t="shared" si="152"/>
        <v>1217.3577847556667</v>
      </c>
      <c r="AH290" s="24">
        <v>13.916298058161566</v>
      </c>
      <c r="AI290" s="15">
        <f t="shared" si="153"/>
        <v>40.879174994264353</v>
      </c>
    </row>
    <row r="291" spans="1:35" x14ac:dyDescent="0.45">
      <c r="A291" s="11" t="s">
        <v>2</v>
      </c>
      <c r="B291" s="11" t="s">
        <v>7</v>
      </c>
      <c r="C291" s="10" t="s">
        <v>6</v>
      </c>
      <c r="D291" t="s">
        <v>65</v>
      </c>
      <c r="E291" t="s">
        <v>53</v>
      </c>
      <c r="F291" t="s">
        <v>49</v>
      </c>
      <c r="G291" s="12">
        <v>1.4687517766368094</v>
      </c>
      <c r="H291" s="25">
        <v>0.10070309373645907</v>
      </c>
      <c r="I291" s="19">
        <f t="shared" si="140"/>
        <v>2958.1569567649485</v>
      </c>
      <c r="J291" s="15">
        <v>74.921289849544777</v>
      </c>
      <c r="K291" s="15">
        <f t="shared" si="141"/>
        <v>220.08155514888048</v>
      </c>
      <c r="L291" s="26">
        <v>28714.772357990176</v>
      </c>
      <c r="M291" s="15">
        <f t="shared" si="142"/>
        <v>84349.745833039226</v>
      </c>
      <c r="N291" s="15">
        <v>94.232985343826925</v>
      </c>
      <c r="O291" s="15">
        <f t="shared" si="143"/>
        <v>276.80972928307239</v>
      </c>
      <c r="P291" s="27">
        <v>3.5247342626091602</v>
      </c>
      <c r="Q291" s="19">
        <f t="shared" si="144"/>
        <v>103.53919420759678</v>
      </c>
      <c r="R291" s="27">
        <v>0.99389309149153626</v>
      </c>
      <c r="S291" s="19">
        <f t="shared" si="145"/>
        <v>29.195644878304897</v>
      </c>
      <c r="T291" s="27">
        <v>8.32614711382484</v>
      </c>
      <c r="U291" s="15">
        <f t="shared" si="146"/>
        <v>24.458086731939353</v>
      </c>
      <c r="V291" s="27">
        <v>30.675014320845822</v>
      </c>
      <c r="W291" s="15">
        <f t="shared" si="147"/>
        <v>90.107963564203743</v>
      </c>
      <c r="X291" s="27">
        <v>19.528512965644314</v>
      </c>
      <c r="Y291" s="15">
        <f t="shared" si="148"/>
        <v>57.36507622673011</v>
      </c>
      <c r="Z291" s="27">
        <v>4.7812883129990604</v>
      </c>
      <c r="AA291" s="15">
        <f t="shared" si="149"/>
        <v>14.045051408660365</v>
      </c>
      <c r="AB291" s="24">
        <v>2581.6709572804207</v>
      </c>
      <c r="AC291" s="15">
        <f t="shared" si="150"/>
        <v>7583.667610394541</v>
      </c>
      <c r="AD291" s="24">
        <v>198.89916324572894</v>
      </c>
      <c r="AE291" s="15">
        <f t="shared" si="151"/>
        <v>584.26699877747831</v>
      </c>
      <c r="AF291" s="24">
        <v>434.9663519464678</v>
      </c>
      <c r="AG291" s="15">
        <f t="shared" si="152"/>
        <v>1277.7152043972126</v>
      </c>
      <c r="AH291" s="24">
        <v>10.849045267948849</v>
      </c>
      <c r="AI291" s="15">
        <f t="shared" si="153"/>
        <v>31.869109024226084</v>
      </c>
    </row>
    <row r="292" spans="1:35" x14ac:dyDescent="0.45">
      <c r="A292" s="11" t="s">
        <v>2</v>
      </c>
      <c r="B292" s="11" t="s">
        <v>7</v>
      </c>
      <c r="C292" s="10" t="s">
        <v>6</v>
      </c>
      <c r="D292" t="s">
        <v>65</v>
      </c>
      <c r="E292" t="s">
        <v>54</v>
      </c>
      <c r="F292" t="s">
        <v>49</v>
      </c>
      <c r="G292" s="12">
        <v>1.4687517766368094</v>
      </c>
      <c r="H292" s="25">
        <v>8.6699920623466598E-2</v>
      </c>
      <c r="I292" s="19">
        <f t="shared" si="140"/>
        <v>2546.8132489997383</v>
      </c>
      <c r="J292" s="15">
        <v>64.52137307006987</v>
      </c>
      <c r="K292" s="15">
        <f t="shared" si="141"/>
        <v>189.53176265542302</v>
      </c>
      <c r="L292" s="26">
        <v>30048.525172632537</v>
      </c>
      <c r="M292" s="15">
        <f t="shared" si="142"/>
        <v>88267.649465239854</v>
      </c>
      <c r="N292" s="15">
        <v>96.782059605104791</v>
      </c>
      <c r="O292" s="15">
        <f t="shared" si="143"/>
        <v>284.29764398313449</v>
      </c>
      <c r="P292" s="27">
        <v>3.2646745562130186</v>
      </c>
      <c r="Q292" s="19">
        <f t="shared" si="144"/>
        <v>95.899931091577159</v>
      </c>
      <c r="R292" s="27">
        <v>0.87263313609467463</v>
      </c>
      <c r="S292" s="19">
        <f t="shared" si="145"/>
        <v>25.633629379824079</v>
      </c>
      <c r="T292" s="27">
        <v>9.9602587452971729</v>
      </c>
      <c r="U292" s="15">
        <f t="shared" si="146"/>
        <v>29.258295455835082</v>
      </c>
      <c r="V292" s="27">
        <v>230.43399673018956</v>
      </c>
      <c r="W292" s="15">
        <f t="shared" si="147"/>
        <v>676.90068418997328</v>
      </c>
      <c r="X292" s="27">
        <v>140.08354115945181</v>
      </c>
      <c r="Y292" s="15">
        <f t="shared" si="148"/>
        <v>411.49589991104091</v>
      </c>
      <c r="Z292" s="27">
        <v>32.328522383904591</v>
      </c>
      <c r="AA292" s="15">
        <f t="shared" si="149"/>
        <v>94.965149374805449</v>
      </c>
      <c r="AB292" s="24">
        <v>2507.0932084506749</v>
      </c>
      <c r="AC292" s="15">
        <f t="shared" si="150"/>
        <v>7364.5952082120139</v>
      </c>
      <c r="AD292" s="24">
        <v>202.21445221445222</v>
      </c>
      <c r="AE292" s="15">
        <f t="shared" si="151"/>
        <v>594.0056719032317</v>
      </c>
      <c r="AF292" s="24">
        <v>469.3937284435022</v>
      </c>
      <c r="AG292" s="15">
        <f t="shared" si="152"/>
        <v>1378.8457451871398</v>
      </c>
      <c r="AH292" s="24">
        <v>9.2414749654568666</v>
      </c>
      <c r="AI292" s="15">
        <f t="shared" si="153"/>
        <v>27.14686554851874</v>
      </c>
    </row>
    <row r="293" spans="1:35" x14ac:dyDescent="0.45">
      <c r="A293" s="11" t="s">
        <v>2</v>
      </c>
      <c r="B293" s="11" t="s">
        <v>7</v>
      </c>
      <c r="C293" s="10" t="s">
        <v>6</v>
      </c>
      <c r="D293" t="s">
        <v>65</v>
      </c>
      <c r="E293" t="s">
        <v>55</v>
      </c>
      <c r="F293" t="s">
        <v>49</v>
      </c>
      <c r="G293" s="12">
        <v>1.4687517766368094</v>
      </c>
      <c r="H293" s="25">
        <v>0.109049921959778</v>
      </c>
      <c r="I293" s="19">
        <f t="shared" si="140"/>
        <v>3203.3453324105867</v>
      </c>
      <c r="J293" s="15">
        <v>100.57311447568367</v>
      </c>
      <c r="K293" s="15">
        <f t="shared" si="141"/>
        <v>295.43388113611519</v>
      </c>
      <c r="L293" s="26">
        <v>28562.764511094163</v>
      </c>
      <c r="M293" s="15">
        <f t="shared" si="142"/>
        <v>83903.222242656717</v>
      </c>
      <c r="N293" s="15">
        <v>104.59603905471101</v>
      </c>
      <c r="O293" s="15">
        <f t="shared" si="143"/>
        <v>307.25123638155981</v>
      </c>
      <c r="P293" s="27">
        <v>4.4267779316667442</v>
      </c>
      <c r="Q293" s="19">
        <f t="shared" si="144"/>
        <v>130.03675903824302</v>
      </c>
      <c r="R293" s="27">
        <v>1.0653227265459686</v>
      </c>
      <c r="S293" s="19">
        <f t="shared" si="145"/>
        <v>31.293892946119225</v>
      </c>
      <c r="T293" s="27">
        <v>10.978565461223996</v>
      </c>
      <c r="U293" s="15">
        <f t="shared" si="146"/>
        <v>32.249575052192512</v>
      </c>
      <c r="V293" s="27">
        <v>4.2860154121935032</v>
      </c>
      <c r="W293" s="15">
        <f t="shared" si="147"/>
        <v>12.590185502703909</v>
      </c>
      <c r="X293" s="27">
        <v>13.794657680575289</v>
      </c>
      <c r="Y293" s="15">
        <f t="shared" si="148"/>
        <v>40.521855952883122</v>
      </c>
      <c r="Z293" s="27">
        <v>3.665001302588268</v>
      </c>
      <c r="AA293" s="15">
        <f t="shared" si="149"/>
        <v>10.765954349105478</v>
      </c>
      <c r="AB293" s="24">
        <v>3441.3779162914784</v>
      </c>
      <c r="AC293" s="15">
        <f t="shared" si="150"/>
        <v>10109.059857263581</v>
      </c>
      <c r="AD293" s="24">
        <v>163.60649110238174</v>
      </c>
      <c r="AE293" s="15">
        <f t="shared" si="151"/>
        <v>480.59464895187506</v>
      </c>
      <c r="AF293" s="24">
        <v>377.04714328767295</v>
      </c>
      <c r="AG293" s="15">
        <f t="shared" si="152"/>
        <v>1107.5773231592066</v>
      </c>
      <c r="AH293" s="24">
        <v>13.069713944385668</v>
      </c>
      <c r="AI293" s="15">
        <f t="shared" si="153"/>
        <v>38.39233115190266</v>
      </c>
    </row>
    <row r="294" spans="1:35" x14ac:dyDescent="0.45">
      <c r="A294" s="11" t="s">
        <v>2</v>
      </c>
      <c r="B294" s="11" t="s">
        <v>7</v>
      </c>
      <c r="C294" s="10" t="s">
        <v>6</v>
      </c>
      <c r="D294" t="s">
        <v>65</v>
      </c>
      <c r="E294" t="s">
        <v>56</v>
      </c>
      <c r="F294" t="s">
        <v>49</v>
      </c>
      <c r="G294" s="12">
        <v>1.4687517766368094</v>
      </c>
      <c r="H294" s="25">
        <v>0.16133336342548446</v>
      </c>
      <c r="I294" s="19">
        <f t="shared" si="140"/>
        <v>4739.1732832394473</v>
      </c>
      <c r="J294" s="15">
        <v>181.04293368699911</v>
      </c>
      <c r="K294" s="15">
        <f t="shared" si="141"/>
        <v>531.81426100063993</v>
      </c>
      <c r="L294" s="26">
        <v>33648.383634755388</v>
      </c>
      <c r="M294" s="15">
        <f t="shared" si="142"/>
        <v>98842.246489007826</v>
      </c>
      <c r="N294" s="15">
        <v>137.153737641666</v>
      </c>
      <c r="O294" s="15">
        <f t="shared" si="143"/>
        <v>402.88959166715154</v>
      </c>
      <c r="P294" s="27">
        <v>3.4778347561272529</v>
      </c>
      <c r="Q294" s="19">
        <f t="shared" si="144"/>
        <v>102.16151953822295</v>
      </c>
      <c r="R294" s="27">
        <v>1.2721283473739806</v>
      </c>
      <c r="S294" s="19">
        <f t="shared" si="145"/>
        <v>37.368815406311647</v>
      </c>
      <c r="T294" s="27">
        <v>10.910696521335936</v>
      </c>
      <c r="U294" s="15">
        <f t="shared" si="146"/>
        <v>32.050209800114423</v>
      </c>
      <c r="V294" s="27">
        <v>275.2557615968239</v>
      </c>
      <c r="W294" s="15">
        <f t="shared" si="147"/>
        <v>808.56477774970631</v>
      </c>
      <c r="X294" s="27">
        <v>43.096876506465328</v>
      </c>
      <c r="Y294" s="15">
        <f t="shared" si="148"/>
        <v>126.59722787273624</v>
      </c>
      <c r="Z294" s="27">
        <v>19.164976685719346</v>
      </c>
      <c r="AA294" s="15">
        <f t="shared" si="149"/>
        <v>56.297187112706638</v>
      </c>
      <c r="AB294" s="24">
        <v>3549.6484531564297</v>
      </c>
      <c r="AC294" s="15">
        <f t="shared" si="150"/>
        <v>10427.104944019216</v>
      </c>
      <c r="AD294" s="24">
        <v>342.65392582492706</v>
      </c>
      <c r="AE294" s="15">
        <f t="shared" si="151"/>
        <v>1006.5471246538782</v>
      </c>
      <c r="AF294" s="24">
        <v>569.38002644561232</v>
      </c>
      <c r="AG294" s="15">
        <f t="shared" si="152"/>
        <v>1672.5558508470133</v>
      </c>
      <c r="AH294" s="24">
        <v>16.61974131246652</v>
      </c>
      <c r="AI294" s="15">
        <f t="shared" si="153"/>
        <v>48.820549159858757</v>
      </c>
    </row>
    <row r="295" spans="1:35" x14ac:dyDescent="0.45">
      <c r="A295" s="11" t="s">
        <v>2</v>
      </c>
      <c r="B295" s="11" t="s">
        <v>7</v>
      </c>
      <c r="C295" s="10" t="s">
        <v>6</v>
      </c>
      <c r="D295" t="s">
        <v>65</v>
      </c>
      <c r="E295" t="s">
        <v>57</v>
      </c>
      <c r="F295" t="s">
        <v>49</v>
      </c>
      <c r="G295" s="12">
        <v>1.4687517766368094</v>
      </c>
      <c r="H295" s="25">
        <v>9.6737930543233513E-2</v>
      </c>
      <c r="I295" s="19">
        <f t="shared" si="140"/>
        <v>2841.6801470708501</v>
      </c>
      <c r="J295" s="15">
        <v>54.445361118134585</v>
      </c>
      <c r="K295" s="15">
        <f t="shared" si="141"/>
        <v>159.93344174378564</v>
      </c>
      <c r="L295" s="26">
        <v>33813.434799683586</v>
      </c>
      <c r="M295" s="15">
        <f t="shared" si="142"/>
        <v>99327.084872456355</v>
      </c>
      <c r="N295" s="15">
        <v>112.71144933227862</v>
      </c>
      <c r="O295" s="15">
        <f t="shared" si="143"/>
        <v>331.09028290818787</v>
      </c>
      <c r="P295" s="27">
        <v>3.4423413880561493</v>
      </c>
      <c r="Q295" s="19">
        <f t="shared" si="144"/>
        <v>101.11890058995779</v>
      </c>
      <c r="R295" s="27">
        <v>0.90696419805072181</v>
      </c>
      <c r="S295" s="19">
        <f t="shared" si="145"/>
        <v>26.642105544659536</v>
      </c>
      <c r="T295" s="27">
        <v>9.7866699316361583</v>
      </c>
      <c r="U295" s="15">
        <f t="shared" si="146"/>
        <v>28.748377698897297</v>
      </c>
      <c r="V295" s="27">
        <v>150.55695755169231</v>
      </c>
      <c r="W295" s="15">
        <f t="shared" si="147"/>
        <v>442.2615977781615</v>
      </c>
      <c r="X295" s="27">
        <v>16.156850282359368</v>
      </c>
      <c r="Y295" s="15">
        <f t="shared" si="148"/>
        <v>47.460805114140513</v>
      </c>
      <c r="Z295" s="27">
        <v>0.73081107634143838</v>
      </c>
      <c r="AA295" s="15">
        <f t="shared" si="149"/>
        <v>2.1467601335246931</v>
      </c>
      <c r="AB295" s="24">
        <v>3474.7329665579605</v>
      </c>
      <c r="AC295" s="15">
        <f t="shared" si="150"/>
        <v>10207.040435940991</v>
      </c>
      <c r="AD295" s="24">
        <v>164.0612417624219</v>
      </c>
      <c r="AE295" s="15">
        <f t="shared" si="151"/>
        <v>481.93048063159654</v>
      </c>
      <c r="AF295" s="24">
        <v>602.6095610888957</v>
      </c>
      <c r="AG295" s="15">
        <f t="shared" si="152"/>
        <v>1770.167726935287</v>
      </c>
      <c r="AH295" s="24">
        <v>11.673588356172326</v>
      </c>
      <c r="AI295" s="15">
        <f t="shared" si="153"/>
        <v>34.291207275709745</v>
      </c>
    </row>
  </sheetData>
  <sortState xmlns:xlrd2="http://schemas.microsoft.com/office/spreadsheetml/2017/richdata2" ref="A2:AI295">
    <sortCondition ref="A2:A295"/>
    <sortCondition ref="B2:B295"/>
    <sortCondition ref="D2:D29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Results_OK_FCR</vt:lpstr>
      <vt:lpstr>Risults_OK_Vineyard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Giorgia Raimondi</cp:lastModifiedBy>
  <dcterms:created xsi:type="dcterms:W3CDTF">2025-05-28T08:52:47Z</dcterms:created>
  <dcterms:modified xsi:type="dcterms:W3CDTF">2026-03-20T14:22:20Z</dcterms:modified>
</cp:coreProperties>
</file>